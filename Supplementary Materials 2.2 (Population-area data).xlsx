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 name="Incomplete data"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<sst xmlns="http://schemas.openxmlformats.org/spreadsheetml/2006/main" count="820" uniqueCount="529">
  <si>
    <t xml:space="preserve"> City</t>
  </si>
  <si>
    <t xml:space="preserve">Time</t>
  </si>
  <si>
    <t xml:space="preserve">Polity</t>
  </si>
  <si>
    <t xml:space="preserve">Fortification</t>
  </si>
  <si>
    <t xml:space="preserve">In Seshat</t>
  </si>
  <si>
    <t xml:space="preserve">Population (low)</t>
  </si>
  <si>
    <t xml:space="preserve">Population (high)</t>
  </si>
  <si>
    <t xml:space="preserve">Population</t>
  </si>
  <si>
    <t xml:space="preserve">Area (ha)</t>
  </si>
  <si>
    <t xml:space="preserve">log N</t>
  </si>
  <si>
    <t xml:space="preserve">log A</t>
  </si>
  <si>
    <t xml:space="preserve">log Density</t>
  </si>
  <si>
    <t xml:space="preserve">Density</t>
  </si>
  <si>
    <t xml:space="preserve">Sources</t>
  </si>
  <si>
    <t xml:space="preserve">Alexandria I</t>
  </si>
  <si>
    <t xml:space="preserve">330-30 BCE</t>
  </si>
  <si>
    <t xml:space="preserve">Ptolamaic Egypt</t>
  </si>
  <si>
    <t xml:space="preserve">Walled</t>
  </si>
  <si>
    <t xml:space="preserve">Yes</t>
  </si>
  <si>
    <t xml:space="preserve">McKenzie, Judith. 2011. The Architecture of Alexandria and Egypt, c. 300 BC to AD 700. New Haven: Yale University Press: 34, 179 (N, A). Shipley, Graham. 2014. The Greek World after Alexander 323–30 BC. 2nd ed. New York: Routledge. p. 215 (N).</t>
  </si>
  <si>
    <t xml:space="preserve">Alexandria II</t>
  </si>
  <si>
    <t xml:space="preserve">640 CE</t>
  </si>
  <si>
    <t xml:space="preserve">Arab Caliphate</t>
  </si>
  <si>
    <t xml:space="preserve">Haas, Christopher. 2006. Alexandria in Late Antiquity: Topography and Social Conflict. Baltimore: Johns Hopkins University Press, 2006. pp. 46-7 (A, N). Note: Ctesiphon, re-named al-Madain, rapidly declined after conquest to 100 ha (Adams, Robert McC. 1965. Land behind Baghdad: A History of Settlement on the Diyala Plains. Chicago: University of Chicago Press, 1965. p. 98). Antioch's population had similarly declined making Alexandia likely the largest settlement in the early Caliphate.</t>
  </si>
  <si>
    <t xml:space="preserve">Amsterdam</t>
  </si>
  <si>
    <t xml:space="preserve">1630 CE</t>
  </si>
  <si>
    <t xml:space="preserve">Dutch Republic</t>
  </si>
  <si>
    <t xml:space="preserve">No</t>
  </si>
  <si>
    <t xml:space="preserve">Braudel, Fernand. 1981. Civilization and Capitalism, 15th-18th Century, Volume I: The Structures of Everyday Life. New York: Harper &amp; Row, p. 528 (N). The city was circumscribed by ring of canals, the Singelgracht, which encloses 481.7 ha: UNESCO World Heritage Site: https://whc.unesco.org/en/list/1349/</t>
  </si>
  <si>
    <t xml:space="preserve">Ankor Wat</t>
  </si>
  <si>
    <t xml:space="preserve">800-1600 CE</t>
  </si>
  <si>
    <t xml:space="preserve">Medieval Cambodia</t>
  </si>
  <si>
    <t xml:space="preserve">Klassen, Sarah, Alison K Carter, Damian H Evans, Scott Ortman, Miriam T Stark, Alyssa A Loyless, Martin Polkinghorne, et al. 2021. “Diachronic Modeling of the Population within the Medieval Greater Angkor Region Settlement Complex.” Science Advances 7 (19): eabf8441.</t>
  </si>
  <si>
    <t xml:space="preserve">Antioch I</t>
  </si>
  <si>
    <t xml:space="preserve">100-1 BCE</t>
  </si>
  <si>
    <t xml:space="preserve">Seleucid Empire</t>
  </si>
  <si>
    <t xml:space="preserve">Aperghis, Gerassimos George. 2004. The Seleukid Royal Economy: The Finances and Financial Administration of the Seleukid Empire. New York: Cambridge University Press, pp. 45 (N), 93 (A).</t>
  </si>
  <si>
    <t xml:space="preserve">Antioch II</t>
  </si>
  <si>
    <t xml:space="preserve">100-200 CE</t>
  </si>
  <si>
    <t xml:space="preserve">Seleucid/Roman Empires</t>
  </si>
  <si>
    <t xml:space="preserve">Kloeg, Paul. 2013. “Antioch the Great: Population and Economy of Second-Century Antioch.” Master’s thesis, Leiden University. https://studenttheses.universiteitleiden.nl/handle/1887/21549: Table 1, p. 23.</t>
  </si>
  <si>
    <t xml:space="preserve">Antioch III</t>
  </si>
  <si>
    <t xml:space="preserve">450-650 CE</t>
  </si>
  <si>
    <t xml:space="preserve">Byzantium/Eastern Roman Empire</t>
  </si>
  <si>
    <t xml:space="preserve">De Giorgi, Andrea, and A. Asa Eger. 2021. Antioch: A History. Routledge. p. 209 (N). Randsborg, Klavs. 1991. The First Millennium AD in Europe and the Mediterranean: An Archaeological Essay. New York: Cambridge University Press. p. 92 (A). Estimates of N before Perian/Arab conquestion reach as high as 800k but this seems implausible and no primary sources are given, see: Stephenson, Paul. 2022. New Rome: The Empire in the East. Cambridge: Harvard University Press, 2022.</t>
  </si>
  <si>
    <t xml:space="preserve">Anyang</t>
  </si>
  <si>
    <t xml:space="preserve">1250-1050 BCE</t>
  </si>
  <si>
    <t xml:space="preserve">Shang China</t>
  </si>
  <si>
    <t xml:space="preserve">Liu, Li, and Xingcan Chen. 2012. The Archaeology of China: From the Late Paleolithic to the Early Bronze Age. New York: Cambridge University Press. pp. 355-7 give a range of 2400-3000 ha. Kim, Nam C. 2015. The Origins of Ancient Vietnam. New York: Oxford University Press. Table 9.6, p. 217 (A, N). Primary source for population range is in Chinese and I am unable to investigate further. </t>
  </si>
  <si>
    <t xml:space="preserve">Askum</t>
  </si>
  <si>
    <t xml:space="preserve">450-600 CE</t>
  </si>
  <si>
    <t xml:space="preserve">Connah, Graham. 2016. African Civilizations: An Archaeological Perspective. 3rd ed. New York: Cambridge University Press. p. 142 (N). Curtis, Matthew C. 2017. “Aksum, Town and Monuments.” In Ethiopia: History, Culture and Challenges, edited by Siegbert Uhlig, David Appleyard, Alessandro Bausi, Wolfgang Hahn, and Steven Kaplan. Lansing: Michigan State University Press. p. 106 (N, A).</t>
  </si>
  <si>
    <t xml:space="preserve">Athens</t>
  </si>
  <si>
    <t xml:space="preserve">430s BCE</t>
  </si>
  <si>
    <t xml:space="preserve">Athenian Empire</t>
  </si>
  <si>
    <t xml:space="preserve">Morris, Ian. 2006. “The Growth of Greek Cities in the First Millennium BC.” In Urbanism in the Preindustrial World: Cross-Cultural Approaches, edited by Glenn R Storey, 27–51. Tuscaloosa: University of Alabama Press: 42 (N, A). 40k, 1 sq. mile given in Morris, Ian, and Barry B. Powell. 2021. The Greeks: History, Culture, and Society. 3rd ed. New York: Oxford University Press, p. 284.</t>
  </si>
  <si>
    <t xml:space="preserve">Ayutthaya</t>
  </si>
  <si>
    <t xml:space="preserve">1500-1600</t>
  </si>
  <si>
    <t xml:space="preserve">Kingdom of Ayutthaya (Siam)</t>
  </si>
  <si>
    <t xml:space="preserve">Walled (moat)</t>
  </si>
  <si>
    <t xml:space="preserve">Baker, Chris, and Pasuk Phongpaichit. 2017. A History of Ayutthaya: Siam in the Early Modern World. New York: Cambridge University Press. pp. 182-4 (A, N)</t>
  </si>
  <si>
    <t xml:space="preserve">Babylon</t>
  </si>
  <si>
    <t xml:space="preserve">330 BCE</t>
  </si>
  <si>
    <t xml:space="preserve">Achaemenid Persia</t>
  </si>
  <si>
    <t xml:space="preserve">Morris, Ian. 2006. “The Growth of Greek Cities in the First Millennium BC.” In Urbanism in the Preindustrial World: Cross-Cultural Approaches, edited by Glenn R Storey, 27–51. Tuscaloosa: University of Alabama Press: 49.</t>
  </si>
  <si>
    <t xml:space="preserve">Bactra</t>
  </si>
  <si>
    <t xml:space="preserve">256-125 BCE</t>
  </si>
  <si>
    <t xml:space="preserve">Graco-Bactrian Kingdom</t>
  </si>
  <si>
    <t xml:space="preserve">Thapar, Romila. 2003. Early India: From the Origins to AD 1300. Los Angeles: University of California Press: 248 (N). Martinez-Seve, Laurianna. 2021. “Afghan Bactria.” In The Graeco-Bactrian and Indo-Greek World, edited by Rachel Mairs, 217–48. New York: Routledge, p. 225. (A)</t>
  </si>
  <si>
    <t xml:space="preserve">Baghdad I</t>
  </si>
  <si>
    <t xml:space="preserve">762-800 CE</t>
  </si>
  <si>
    <t xml:space="preserve">Abbasid Caliphate</t>
  </si>
  <si>
    <t xml:space="preserve">Hodges, Richard, and David Whitehouse. 1983. Mohammed, Charlemagne &amp; the Origins of Europe: Archaeology and the Pirenne Thesis. Ithaca: Cornell University Press. p. 128 (A = 547-860 ha). Adams, Robert McC. 1965. Land behind Baghdad: A History of Settlement on the Diyala Plains. Chicago: University of Chicago Press. p. 89 (N); Micheau, Françoise. 2008. “Baghdad in the Abbasid Era: A Cosmopolitan and Multi-Confessional Capital.” In The City in the Islamic World, edited by Salma K. Jayyusi, 1:221–45. Boston: Brill, p. 225 (A = 490-706ha).</t>
  </si>
  <si>
    <t xml:space="preserve">Baghdad II</t>
  </si>
  <si>
    <t xml:space="preserve">900 CE</t>
  </si>
  <si>
    <t xml:space="preserve">Lapidus, Ira M. 2012. Islamic Societies to the Nineteenth Century: A Global History. New York: Cambridge University Press. p. 93 (N). Duri, A. A. 1986. “Baghdad.” In The Encyclopaedia of Islam, edited by H. A. R. Gibb, J. H. Kramers, E. Levi-Provencal, and J. Schacht, 2nd ed., 1:894–908. Leiden: Brill. p. 898.</t>
  </si>
  <si>
    <t xml:space="preserve">Baghdad III</t>
  </si>
  <si>
    <t xml:space="preserve">1000 CE</t>
  </si>
  <si>
    <t xml:space="preserve">Bulliet, Richard W. 2022. “The Economic Parameters of Baghdād and Its Hinterland.” In Baghdād: From Its Beginnings to the 14th Century, 316–36. Boston: Brill, p. 316 (N, A=7000ha); Micheau, Françoise. 2008. “Baghdad in the Abbasid Era: A Cosmopolitan and Multi-Confessional Capital.” In The City in the Islamic World, edited by Salma K. Jayyusi, 1:221–45. Boston: Brill, pp. 234-5 (N, A=5000 [earlier]-7000 [c 1000]); Adams, Robert McC. 1965. Land behind Baghdad: A History of Settlement on the Diyala Plains. Chicago: University of Chicago Press. p. 89 (A = 4180 [West Baghdad] + 2790 [East Baghdad, non-residential] = 6970).</t>
  </si>
  <si>
    <t xml:space="preserve">Basra</t>
  </si>
  <si>
    <t xml:space="preserve">750 CE</t>
  </si>
  <si>
    <t xml:space="preserve">Umayyad Empire</t>
  </si>
  <si>
    <t xml:space="preserve">Marsham, Andrew. 2024. The Umayyad Empire. Edinburgh University Press. p. 230 (N). Hugh Kennedy, "Military Pay and the Economy of the Early Islamic State", Historical Research 75 (2002), p. 156 (N). Le Strange, Guy. 1905. The Lands of the Eastern Caliphate: Mesopotamia, Persia and Central Asia from the Moslem Conquest to the Time of Timur. Cambridge University Press. p. 44 (A = 3 x ~4 miles ~ 3100 ha). Petersen, Andrew, Alastair Northedge, Frank Stremke, Martin Bates, and Ifan Edwards. 2023. “Discovering Early Islamic Basra: The Origins and Development of Iraq’s Southern Metropolis.” Journal of Material Cultures in the Muslim World 4 (1): 119–42, who give an area of 4000 ha on p. 140 (A).</t>
  </si>
  <si>
    <t xml:space="preserve">Beijing</t>
  </si>
  <si>
    <t xml:space="preserve">1553 CE</t>
  </si>
  <si>
    <t xml:space="preserve">Ming China</t>
  </si>
  <si>
    <t xml:space="preserve">Mote, Frederick W., and Denis Twitchett, eds. 1998. The Cambridge History of China, Volume 7: The Ming Dynasty, 1368-1644, Part I. New York: Cambridge University Press, Map 12, p. 240 used to estimate A (=7.5km2-6). Mote, Frederick W. 1999. Imperial China, 900–1800. Cambridge: Harvard University Press, p. 763 (N).</t>
  </si>
  <si>
    <t xml:space="preserve">Benin City</t>
  </si>
  <si>
    <t xml:space="preserve">1300-1500 CE</t>
  </si>
  <si>
    <t xml:space="preserve">Kingdom of Benin</t>
  </si>
  <si>
    <t xml:space="preserve">Walled (earthworks)</t>
  </si>
  <si>
    <t xml:space="preserve">Trigger, Bruce G. 2003. Understanding Early Civilizations: A Comparative Study. New York: Cambridge University Press, p. 129 (N). Connah, Graham. 2016. African Civilizations: An Archaeological Perspective. 3rd ed. New York: Cambridge University Press, p. 203 (A).</t>
  </si>
  <si>
    <t xml:space="preserve">Berlin I</t>
  </si>
  <si>
    <t xml:space="preserve">1400 CE</t>
  </si>
  <si>
    <t xml:space="preserve">Margraviate of Brandenburg</t>
  </si>
  <si>
    <t xml:space="preserve">Stover, Bernd. 2013. Berlin: A Short History. English. Munich: Verlag C.H. Beck, 2013. pp. 12-13 (N, A estimated from map p. 13)</t>
  </si>
  <si>
    <t xml:space="preserve">Berlin II</t>
  </si>
  <si>
    <t xml:space="preserve">1800-1871 CE</t>
  </si>
  <si>
    <t xml:space="preserve">Prussia</t>
  </si>
  <si>
    <t xml:space="preserve">Stover, Bernd. 2013. Berlin: A Short History. English. Munich: Verlag C.H. Beck, 2013. p. 31 (N). The Berlin Customs Wall (or Akzisemauer) is 15.9 km long which yields a (circular) area of approximately 2040 ha (https://www.the-berliner.com/berlin/customs-wall-akzisemauer-historical-city-gates/). N taken from https://www.myleszhang.org/2020/01/31/berlin/</t>
  </si>
  <si>
    <t xml:space="preserve">Brussels</t>
  </si>
  <si>
    <t xml:space="preserve">1750 CE</t>
  </si>
  <si>
    <t xml:space="preserve">Belgium</t>
  </si>
  <si>
    <t xml:space="preserve">Mitchell, Brian. 1992. International Historical Statistics: Europe 1750-1993. London: Macmillan. p. 72 (N); Area of historical/walled core estimated using Google Maps and length of "Second Walls" = 8km -&gt; 400 ha, also historical map of Brussels c. 1700 at https://en.wikipedia.org/wiki/Fortifications_of_Brussels#/media/File:Bombardement_Bruxelles_1695_01.jpg</t>
  </si>
  <si>
    <t xml:space="preserve">Cahokia</t>
  </si>
  <si>
    <t xml:space="preserve">1100 CE</t>
  </si>
  <si>
    <t xml:space="preserve">Walled (palisade)</t>
  </si>
  <si>
    <t xml:space="preserve">Milner, George R. 1998. The Cahokia Chiefdom: The Archaeology of a Mississippian Society. Washington, DC: Smithsonian Institution Press, pp. 122-4 (A); Pauketat, Timothy R. 2009. Cahokia: Ancient America’s Great City on the Mississippi. New York: Penguin, p. 26 (N)</t>
  </si>
  <si>
    <t xml:space="preserve">Cairo I</t>
  </si>
  <si>
    <t xml:space="preserve">969-1171 CE</t>
  </si>
  <si>
    <t xml:space="preserve">Fatimid Egypt</t>
  </si>
  <si>
    <t xml:space="preserve">Raymond, André. 2000. Cairo. Cambridge: Harvard University Press, p. 62.</t>
  </si>
  <si>
    <t xml:space="preserve">Cairo II</t>
  </si>
  <si>
    <t xml:space="preserve">1412-1517 CE</t>
  </si>
  <si>
    <t xml:space="preserve">Mamluk Empire</t>
  </si>
  <si>
    <t xml:space="preserve">Raymond, André. 1984. “Cairo’s Area and Population in the Early Fifteenth Century.” Muqarnas 2:21–31, p. 30. </t>
  </si>
  <si>
    <t xml:space="preserve">Calakmul</t>
  </si>
  <si>
    <t xml:space="preserve">500-800 CE</t>
  </si>
  <si>
    <t xml:space="preserve">None</t>
  </si>
  <si>
    <t xml:space="preserve">Folan, William J, Joyce Marcus, Sophia Pincemin, María del Rosario Domínguez Carrasco, Laraine Fletcher, and Abel Morales López. 1995. “Calakmul: New Data from an Ancient Maya Capital in Campeche, Mexico.” Latin American Antiquity 6 (4): 310–34.</t>
  </si>
  <si>
    <t xml:space="preserve">Carthage I</t>
  </si>
  <si>
    <t xml:space="preserve">200 BCE</t>
  </si>
  <si>
    <t xml:space="preserve">Cathaginian</t>
  </si>
  <si>
    <t xml:space="preserve">Hoyos, Dexter. 2010. The Carthaginians. New York: Routledge: 210 (N, A = 200-300). Population is given as 200000 excluding slaves, so the range 200-250k is given here. Similar dimensions given (for another time?) by Hanson, John W, and Scott G Ortman. 2017. “A Systematic Method for Estimating the Populations of Greek and Roman Settlements.” Journal of Roman Archaeology 30:301–24: Table 6.</t>
  </si>
  <si>
    <t xml:space="preserve">Carthage II</t>
  </si>
  <si>
    <t xml:space="preserve">439-500 CE</t>
  </si>
  <si>
    <t xml:space="preserve">Vandal kingdom</t>
  </si>
  <si>
    <t xml:space="preserve">Stephenson, Paul. 2022. New Rome: The Empire in the East. Harvard University Press. pp. 53-54 (A, N). Wickham, Chris. 2005. Framing the Early Middle Ages: Europe and the Mediterranean, 400--800. New York: Oxford University Press, 2005. p. 641 (N=100k).</t>
  </si>
  <si>
    <t xml:space="preserve">Chan Chan</t>
  </si>
  <si>
    <t xml:space="preserve">1460-1500</t>
  </si>
  <si>
    <t xml:space="preserve">Chimor</t>
  </si>
  <si>
    <t xml:space="preserve">Walled (defensive citadels)</t>
  </si>
  <si>
    <t xml:space="preserve">Moseley, Michael E. 1975. “Chan Chan: Andean Alternative of the Preindustrial City.” Science 187 (4173): 219–25.</t>
  </si>
  <si>
    <t xml:space="preserve">Chang'an</t>
  </si>
  <si>
    <t xml:space="preserve">600-870 CE</t>
  </si>
  <si>
    <t xml:space="preserve">Tang China</t>
  </si>
  <si>
    <t xml:space="preserve">Lewis, Mark E. 2009. China’s Cosmopolitan Empire: The Tang Dynasty. Cambridge: Harvard University Press: 87 (A); Xiong, Victor. 2000. Sui-Tang Chang’an: A Study in the Urban History of Late Medieval China. Ann Arbor: Center for Chinese Studies, University of Michigan: 198 (N).</t>
  </si>
  <si>
    <t xml:space="preserve">Chichen Itza</t>
  </si>
  <si>
    <t xml:space="preserve">1100-1250 CE</t>
  </si>
  <si>
    <t xml:space="preserve">Sharer, Robert J, and Loa P Traxler. 2006. The Ancient Maya. 6th ed. Standford, CA: Stanford University Press. p. 562 (A); Volta, Beniamino, Nancy Peniche May, and Geoffrey E. Braswell. 2017. “The Archaeology of Chichen Itza.” In Landscapes of the Itza: Archaeology and Art History at Chichen Itza and Neighboring Sites, edited by Linnea Wren, Cynthia Kristan-Graham, Travis Nygard, and Kaylee Spencer, 28–64. Gainesville: University Press of Florida. p. 43 (N).</t>
  </si>
  <si>
    <t xml:space="preserve">Co Loa</t>
  </si>
  <si>
    <t xml:space="preserve">2-200 CE</t>
  </si>
  <si>
    <t xml:space="preserve">Kim, Nam C. 2015. The Origins of Ancient Vietnam. New York: Oxford University Press. Table 9.7 p. 222 (A, N)</t>
  </si>
  <si>
    <t xml:space="preserve">Cologne/Koeln</t>
  </si>
  <si>
    <t xml:space="preserve">1200-1800 CE</t>
  </si>
  <si>
    <t xml:space="preserve">Holy Roman Empire/Kingdom of Prussia</t>
  </si>
  <si>
    <t xml:space="preserve">Cesaretti, Rudolf, José Lobo, Luís M.A. Bettencourt, Scott G. Ortman, and Michael E. Smith. 2016. “Population-Area Relationship for Medieval European Cities.” PloS One 11:e0162678. Cf. Wikidata on opposite sheet</t>
  </si>
  <si>
    <t xml:space="preserve">Constantinople I</t>
  </si>
  <si>
    <t xml:space="preserve">300-400 CE</t>
  </si>
  <si>
    <t xml:space="preserve">Randsborg, Klavs. 1991. The First Millennium AD in Europe and the Mediterranean: An Archaeological Essay. New York: Cambridge University Press. p. 92 (A). Berger, Albrecht. 2022. “Urban Development and Decline, Fourth-Fifteenth Centuries.” In The Cambridge Companion to Constantinople, edited by Sarah Bassett, 33–49. New York: Cambridge University Press. p. 50 (N). Lee, Alan Douglas. 2013. From Rome to Byzantium AD 363 to 565: The Transformation of Ancient Rome. Edinburgh: Edinburgh University Press. p. 76 (N).</t>
  </si>
  <si>
    <t xml:space="preserve">Constantinople II</t>
  </si>
  <si>
    <t xml:space="preserve">400-500 CE</t>
  </si>
  <si>
    <t xml:space="preserve">Lee, Alan Douglas. 2013. From Rome to Byzantium AD 363 to 565: The Transformation of Ancient Rome. Edinburgh: Edinburgh University Press: 73-76 (N). Kaldellis, Anthony. 2023. The New Roman Empire: A History of Byzantium. Oxford University Press. p. 21 (N). Berger, Albrecht. 2022. “Urban Development and Decline, Fourth-Fifteenth Centuries.” In The Cambridge Companion to Constantinople, edited by Sarah Bassett, 33–49. New York: Cambridge University Press, p. 40 (A). Jones, A. H. M. 1964. The Later Roman Empire 284--602: A Social, Economic, and Administrative Survey. 3 vols. Basil Blackwell. p. 698 estimates that the grain shipments from Egypt would feed 600k (N); and Wickham, Chris. 2005. Framing the Early Middle Ages: Europe and the Mediterranean, 400-800. New York: Oxford University Press, 2005. p. 73 gives a range of 300-600k.</t>
  </si>
  <si>
    <t xml:space="preserve">Constantinpole III (Istanbul)</t>
  </si>
  <si>
    <t xml:space="preserve">1535-1886 CE</t>
  </si>
  <si>
    <t xml:space="preserve">Ottoman Empire</t>
  </si>
  <si>
    <t xml:space="preserve">Population range from census data in  Freely, John. 1998. Istanbul: The Imperial City. New York: Penguin, pp. 202, 248. Area from Dark, Ken, and Ferudun Özgümüş. 2013. Constantinople: Archaeology of a Byzantine Megapolis. Oxford: Oxbow Books, p. 3.</t>
  </si>
  <si>
    <t xml:space="preserve">Copan</t>
  </si>
  <si>
    <t xml:space="preserve">800-850 CE</t>
  </si>
  <si>
    <t xml:space="preserve">Sanders, William T, and David Webster. 1988. “The Mesoamerican Urban Tradition.” American Anthropologist 90 (3): 521–46, pp. 530-2.</t>
  </si>
  <si>
    <t xml:space="preserve">Cordoba</t>
  </si>
  <si>
    <t xml:space="preserve">Umayyad dynasty of Cordova</t>
  </si>
  <si>
    <t xml:space="preserve">Glick, Thomas. 1979. Islamic and Christian Spain in the Early Middle Ages. Princeton: Princeton  University Press, p. 113 (N). Area is taken from a map created by UNESCO available at https://whc.unesco.org/en/list/313/documents/.</t>
  </si>
  <si>
    <t xml:space="preserve">Corinth</t>
  </si>
  <si>
    <t xml:space="preserve">500-400 BCE</t>
  </si>
  <si>
    <t xml:space="preserve">Corintian city-state</t>
  </si>
  <si>
    <t xml:space="preserve">Dillon, Matthew, and Lynda Garland. 2010. Ancient Greece: Social and Historical Documents from Archaic Times to the Death of Socrates (c. 800-399 BC). 2nd ed. New York: Routledge. p. 352 (N). Engels, Donald W. 1990. Roman Corinth: An Alternative Model for the Classical City. Chicago: University of Chicago Press. p. 81 (A, N).</t>
  </si>
  <si>
    <t xml:space="preserve">Ctesiphon</t>
  </si>
  <si>
    <t xml:space="preserve">41-487 CE</t>
  </si>
  <si>
    <t xml:space="preserve">Parthian/Sasanid Empires</t>
  </si>
  <si>
    <t xml:space="preserve">Pourshariati, Parvaneh. 2022. “Ctesiphon and Its Surroundings, Precursors of Baghdād.” In Baghdād: From Its Beginnings to the 14th Century, 111–42. Boston: Brill, p 112 (A). There are three convergent historical accounts relating to population: Ling-hu Te-fen (100k households = 500k) in the late sixth century (See Miller, Roy Andrew. 1959. Accounts of Western Nations in the History of the Northern Chou Dynasty. Los Angeles: University of California Press. pp. 13, 37n102), Pliny (1st cen CE, 600k), and Orosius (400k, mid 2nd century) see Cohen, Getzel M. The Hellenistic Settlements in the East from Armenia and Mesopotamia to Bactria and India. Los Angeles: University of California Press, 2013, p. 186.</t>
  </si>
  <si>
    <t xml:space="preserve">Cuilcuilco</t>
  </si>
  <si>
    <t xml:space="preserve">400-100 BCE</t>
  </si>
  <si>
    <t xml:space="preserve">City-state in Basin of Mexico</t>
  </si>
  <si>
    <t xml:space="preserve">Unknown</t>
  </si>
  <si>
    <t xml:space="preserve">Sanders, William T., Jeffrey R. Parsons, and Robert S. Santley. 1979. The Basin of Mexico: The Evolution of a Civilization. New York: Academic Press, p. 99.</t>
  </si>
  <si>
    <t xml:space="preserve">Cuzco</t>
  </si>
  <si>
    <t xml:space="preserve">1400-1536</t>
  </si>
  <si>
    <t xml:space="preserve">Inka</t>
  </si>
  <si>
    <t xml:space="preserve">D’Altroy, Terence N. 2015. The Incas. 2nd ed. Malden, MA: Blackwell, p. 203 (N), A estimated using Fig 7.1, p. 199.</t>
  </si>
  <si>
    <t xml:space="preserve">Delhi</t>
  </si>
  <si>
    <t xml:space="preserve">1650-1682 CE</t>
  </si>
  <si>
    <t xml:space="preserve">Mughal India</t>
  </si>
  <si>
    <t xml:space="preserve">Asher, Catherine B, and Cynthia Talbot. 2022. India Before Europe. 2nd ed. New York: Cambridge University Press. p. 341 (N). Habib, Irfan. 1982. “Population.” In The Cambridge Economic History of India, Volume I: C. 1200-c.1750, edited by Tapan Raychaudhuri and Irfan Habib, 163–71. New York: Cambridge University Press. p. 171 (N). Keay, John. 2000. India: A History. London: HarperCollins. p. 335 (N, A).</t>
  </si>
  <si>
    <t xml:space="preserve">Edo/Tokyo</t>
  </si>
  <si>
    <t xml:space="preserve">1800-1900 CE</t>
  </si>
  <si>
    <t xml:space="preserve">Tokugawa/Meiji Japan</t>
  </si>
  <si>
    <t xml:space="preserve">Walled (moats as well)</t>
  </si>
  <si>
    <t xml:space="preserve">Jansen, Marius. 1989. “Japan in the Early Nineteenth Century.” In The Cambridge History of Japan. Volume 5: The Nineteenth Century, edited by Marius Jansen, 50–115. New York: Cambridge University Press, p. 63 (N). A estimated using 1896 map at https://en.wikipedia.org/wiki/File:Tokio1896.jpg</t>
  </si>
  <si>
    <t xml:space="preserve">Erlitou</t>
  </si>
  <si>
    <t xml:space="preserve">1900-1500 BCE</t>
  </si>
  <si>
    <t xml:space="preserve">Liu, Li, and Xingcan Chen. 2012. The Archaeology of China: From the Late Paleolithic to the Early Bronze Age. New York: Cambridge University Press: 266-70.</t>
  </si>
  <si>
    <t xml:space="preserve">Florence</t>
  </si>
  <si>
    <t xml:space="preserve">1300-1400 CE</t>
  </si>
  <si>
    <t xml:space="preserve">Kingdom of Tuscany</t>
  </si>
  <si>
    <t xml:space="preserve">Brucker, Gene. 1983. Renaissance Florence. 2nd ed. Los Angeles: University of California Press. pp. 51-55 (A, N).</t>
  </si>
  <si>
    <t xml:space="preserve">Gallinzo Group</t>
  </si>
  <si>
    <t xml:space="preserve">200 BCE - 800 CE</t>
  </si>
  <si>
    <t xml:space="preserve">Viru</t>
  </si>
  <si>
    <t xml:space="preserve">Millaire, Jean-François. 2010. “Primary State Formation in the Virú Valley, North Coast of Peru.” Proceedings of the National Academy of Sciences 107:6186–91.</t>
  </si>
  <si>
    <t xml:space="preserve">Great Zimbabwe</t>
  </si>
  <si>
    <t xml:space="preserve">1600-1700 CE</t>
  </si>
  <si>
    <t xml:space="preserve">Zimbabwe</t>
  </si>
  <si>
    <t xml:space="preserve">Kusimba, Chapurukha. 2008. “Early African Cities: Their Role in Shaping the Urban and Rural Interaction Spheres.” In The Ancient City: New Perspectives on Urbanism in the Old and New World, edited by Joyce Marcus and Jeremy A. Sabloff, 229–46. Santa Fe: School for Advanced Research, p. 235.</t>
  </si>
  <si>
    <t xml:space="preserve">Hangzhou</t>
  </si>
  <si>
    <t xml:space="preserve">1129-1279 CE</t>
  </si>
  <si>
    <t xml:space="preserve">Southern Song</t>
  </si>
  <si>
    <t xml:space="preserve">See range of population estimates given by Bairoch, Kuhn, Skinner, and other in Morris, Ian. 2013. The Measure of Civilization: How Social Development Decides the Fate of Nations. Princeton, NJ: Princeton University Press, pp. 156-7. Area estimated from Map 9, p. 206 in Kuhn, Dieter. 2011. The Age of Confucian Rule: The Song Transformation of China. Cambridge: Harvard University Press.</t>
  </si>
  <si>
    <t xml:space="preserve">Hattusa</t>
  </si>
  <si>
    <t xml:space="preserve">1400-1180 BCE</t>
  </si>
  <si>
    <t xml:space="preserve">Hittite Empire</t>
  </si>
  <si>
    <t xml:space="preserve">Mielke, Dirk Paul. 2011. “Hittite Cities: Looking for a Concept.” In Insights into Hittite History and Archaeology, edited by Hermann Genz and Dirk Paul Mielke, 153–94. Leuven: Peeters. pp. 183-4. </t>
  </si>
  <si>
    <t xml:space="preserve">Heijō-kyō</t>
  </si>
  <si>
    <t xml:space="preserve">700-800 CE</t>
  </si>
  <si>
    <t xml:space="preserve">Nara (Japan)</t>
  </si>
  <si>
    <t xml:space="preserve">Kojiro, Naoki. 1993. “The Nara State.” In The Cambridge History of Japan, Volume 1: Ancient Japan, edited by John W. Hall, Marius B. Jansen, Madoka Kanai, and Denis Twitchett, 221–67. New York: Cambridge University Press. p. 244 (N, A). Area given as 1/4 of Chang'an ~ 2000ha.</t>
  </si>
  <si>
    <t xml:space="preserve">Hierakonpolis</t>
  </si>
  <si>
    <t xml:space="preserve">3000 BCE</t>
  </si>
  <si>
    <t xml:space="preserve">Hoffman, Michael A., Hany A. Hamroush, and Ralph O. Allen. 1986. “A Model of Urban Development for the Hierakonpolis Region from Predynastic through Old Kingdom Times.” Journal of the American Research Center in Egypt 23:175–87.</t>
  </si>
  <si>
    <t xml:space="preserve">Huaca Santa</t>
  </si>
  <si>
    <t xml:space="preserve">1-200 CE</t>
  </si>
  <si>
    <t xml:space="preserve">Santa Valley chiefdom</t>
  </si>
  <si>
    <t xml:space="preserve">Wilson, David. 1988. Prehispanic Settlement Patterns in the Lower Santa Valley, Peru: A Regional Perspective on the Origins and Development of Complex North Coast Society. Washington, D.C.: Smithsonian Institution. p. 160.</t>
  </si>
  <si>
    <t xml:space="preserve">Ile-Ife</t>
  </si>
  <si>
    <t xml:space="preserve">Yoruba city-state</t>
  </si>
  <si>
    <t xml:space="preserve">Kusimba, Chapurukha, Sibel Barut Kusimba, and Babatunde Agbaje-Williams. 2006. “Precolonial African Cities.” In Urbanism in the Preindustrial World: Cross-Cultural Approaches, edited by Glenn R Storey, 147–58. Tuscaloosa: University of Alabama Press, 157.</t>
  </si>
  <si>
    <t xml:space="preserve">Isfahan</t>
  </si>
  <si>
    <t xml:space="preserve">1000-1100 CE</t>
  </si>
  <si>
    <t xml:space="preserve">Seljuk Empire</t>
  </si>
  <si>
    <t xml:space="preserve">Durand-Guédy, David. 2010. Iranian Elites and Turkish Rulers: A History of Isfahan in the Saljuq Period. New York: Routledge, p. 26.</t>
  </si>
  <si>
    <t xml:space="preserve">Jalieza</t>
  </si>
  <si>
    <t xml:space="preserve">700-900 CE</t>
  </si>
  <si>
    <t xml:space="preserve">Jalieza city-state (Postclassic Valley of Oaxaca)</t>
  </si>
  <si>
    <t xml:space="preserve">Blanton, Richard, Stephen A. Kowalewski, Gary M. Feinman, and Jill Appel. 1982. Monte Alban’s Hinterland, Part I: The Prehispanic Settlement Patterns of the Central and Southern Parts of the Valley of Oaxaca, Mexico. Memoirs of the University of Michigan Museum of Anthropology 15. Ann Arbor: Museum of Anthropology, University of Michigan. p. 118 (N, A).</t>
  </si>
  <si>
    <t xml:space="preserve">Jenne-Jeno</t>
  </si>
  <si>
    <t xml:space="preserve">500-1000 CE</t>
  </si>
  <si>
    <t xml:space="preserve">Kusimba, Chapurukha, Sibel Barut Kusimba, and Babatunde Agbaje-Williams. 2006. “Precolonial African Cities.” In Urbanism in the Preindustrial World: Cross-Cultural Approaches, edited by Glenn R Storey, 147–58. Tuscaloosa: University of Alabama Press. Table 8-3, p. 152.</t>
  </si>
  <si>
    <t xml:space="preserve">Jerusalem</t>
  </si>
  <si>
    <t xml:space="preserve">720-587 BCE</t>
  </si>
  <si>
    <t xml:space="preserve">Judean Monarchy</t>
  </si>
  <si>
    <t xml:space="preserve">Geva, Hillel. 2014. “Jerusalem’s Population in Antiquity: A Minimalist View.” Tel Aviv 41 (2): 131–60: 139-40.</t>
  </si>
  <si>
    <t xml:space="preserve">Jiankang</t>
  </si>
  <si>
    <t xml:space="preserve">313-589 CE</t>
  </si>
  <si>
    <t xml:space="preserve">Eastern Jin/Southern Dynasties China</t>
  </si>
  <si>
    <t xml:space="preserve">Chittick, Andrew. 2020. The Jiankang Empire in Chinese and World History. New York: Oxford University Press: 360 (N); Steinhardt, Nancy Shatzman. 1999. Chinese Imperial City Planning. Honolulu: University of Hawaii Press: 190-1 note 3: (A, square layout with walls of perimeter 47 li * .4158 km/li [https://en.wikipedia.org/wiki/Li_(unit)] = 19.54 km; (19.54/4)^2 = 23.87 km sq).</t>
  </si>
  <si>
    <t xml:space="preserve">Kaifeng</t>
  </si>
  <si>
    <t xml:space="preserve">976-1103 CE</t>
  </si>
  <si>
    <t xml:space="preserve">Northern Song</t>
  </si>
  <si>
    <t xml:space="preserve">Kuhn, Dieter. 2011. The Age of Confucian Rule: The Song Transformation of China. Cambridge: Harvard University Press. p. 195.</t>
  </si>
  <si>
    <t xml:space="preserve">Knossos</t>
  </si>
  <si>
    <t xml:space="preserve">1450-1300 BCE</t>
  </si>
  <si>
    <t xml:space="preserve">Minoan Crete</t>
  </si>
  <si>
    <t xml:space="preserve">None (natural fortification)</t>
  </si>
  <si>
    <t xml:space="preserve">Whitelaw, Todd. 2004. “Estimating the Population of Neopalatial Knossos.” In Knossos: Palace, City, State, edited by G. Cadogan, E. Hatzaki, and A. Vasilaki, 147–58. London: British School at Athens Studies.</t>
  </si>
  <si>
    <t xml:space="preserve">Kultepe/Kanesh</t>
  </si>
  <si>
    <t xml:space="preserve">2050-1500 BCE</t>
  </si>
  <si>
    <t xml:space="preserve">Kanesh (Anatolia)</t>
  </si>
  <si>
    <t xml:space="preserve">Barjamovic, Gojko. 2014. “The Size of Kanesh and the Demography of Early Middle Bronze Age Anatolia.” In Current Research at Kültepe/Kanesh: An Interdisciplinary and Integrative Approach to Trade Networks, Internationalism, and Identity, edited by Levent Atici, Fikri Kulakoglu, Andrew Fairbairn, and Gojko Barjamovic, 55–68. Exeter: University of Exeter Press.</t>
  </si>
  <si>
    <t xml:space="preserve">Kyoto</t>
  </si>
  <si>
    <t xml:space="preserve">794-1185 CE</t>
  </si>
  <si>
    <t xml:space="preserve">Heian Japan</t>
  </si>
  <si>
    <t xml:space="preserve">McCullough, William H. 1999. “The Capital and Its Society.” In The Cambridge History of Japan, edited by Donald H. Shively and William H. McCullough, 2:97–182. New York: Cambridge University Press. N: pp. 121-2; A = 9.24 sq. miles = 2393 ha, p. 102;  A = 1/2 planned, pp. 172-3.</t>
  </si>
  <si>
    <t xml:space="preserve">Lagash</t>
  </si>
  <si>
    <t xml:space="preserve">3000-2600 BCE</t>
  </si>
  <si>
    <t xml:space="preserve">Lagash (Early Dynastic I Mesopotamia)</t>
  </si>
  <si>
    <t xml:space="preserve">McMahon, Augusta, et al. 2023. “Dense Urbanism and Economic Multi-Centrism at Third-Millennium BC Lagash.” Antiquity 97 (393): 596–615.</t>
  </si>
  <si>
    <t xml:space="preserve">London I</t>
  </si>
  <si>
    <t xml:space="preserve">Norman England</t>
  </si>
  <si>
    <t xml:space="preserve">Sheppard, Francis. 1998. London: A History. New York: Oxford University Press, 1998. p. 84 (N=10-20k), p. 37 (A=walled area of Roman Londinium, which had slightly larger population and settled area, see p. 35, Porter, Roy. 1994. London: A Social History. Cambridge: Harvard University Press, 1994. pp. 41-2.</t>
  </si>
  <si>
    <t xml:space="preserve">London II</t>
  </si>
  <si>
    <t xml:space="preserve">Medieval England</t>
  </si>
  <si>
    <t xml:space="preserve">Cesaretti, Rudolf, José Lobo, Luís M.A. Bettencourt, Scott G. Ortman, and Michael E. Smith. 2016. “Population-Area Relationship for Medieval European Cities.” PloS One 11:e0162678.</t>
  </si>
  <si>
    <t xml:space="preserve">London III</t>
  </si>
  <si>
    <t xml:space="preserve">1700-1800 CE</t>
  </si>
  <si>
    <t xml:space="preserve">British Empire</t>
  </si>
  <si>
    <t xml:space="preserve">Porter, Roy. 1994. London: A Social History. Cambridge: Harvard University Press, p. 131 (N). Area estimated from 1746 map of London available at https://en.wikipedia.org/wiki/John_Rocque%27s_maps_of_London</t>
  </si>
  <si>
    <t xml:space="preserve">Loyang</t>
  </si>
  <si>
    <t xml:space="preserve">25-190 CE</t>
  </si>
  <si>
    <t xml:space="preserve">Eastern Han</t>
  </si>
  <si>
    <t xml:space="preserve">Bielenstein, Hans. 1976. “Lo-Yang in Later Han Times.” Bulletin of The Museum of Far Eastern Antiquities, no. 48, 1–142. (https://archive.org/details/bulletin-48/page/20/mode/2up)</t>
  </si>
  <si>
    <t xml:space="preserve">Mayapan</t>
  </si>
  <si>
    <t xml:space="preserve">1250-1450 CE</t>
  </si>
  <si>
    <t xml:space="preserve">Blanton, Richard, Stephen A. Kowalewski, Gary M. Feinman, and Linda M. Finsten. 1993. Ancient Mesoamerica: A Comparison of Change in Three Regions. 2nd ed. New York: Cambridge University Press, p. 193.</t>
  </si>
  <si>
    <t xml:space="preserve">Memphis</t>
  </si>
  <si>
    <t xml:space="preserve">2650-2350 BCE</t>
  </si>
  <si>
    <t xml:space="preserve">Old Kingdom Egypt</t>
  </si>
  <si>
    <t xml:space="preserve">Mumford, Gregory D. 2010. “Settlements–Distribution, Structure, Architecture: Pharaonic.” In A Companion to Ancient Egypt, edited by Alan B. Lloyd, 1:326–69. Maldon: Wiley-Blackwell. Table 18.1, p. 331.</t>
  </si>
  <si>
    <t xml:space="preserve">Merv</t>
  </si>
  <si>
    <t xml:space="preserve">Peacock, A. C. S. 2015. The Great Seljuk Empire. Edinburgh: Edinburgh University Press, p. 302 (N). Harmatta, Janos, ed. 1994. History of Civilizations of Central Asia, Volume II: The Development of Sedentary and Nomadic Civilizations: 700 B.C. to A.D. 250. Paris: UNESCO Publishing, p. 482 (A, this figure may only apply to earlier occupation but it is not clear from the text).</t>
  </si>
  <si>
    <t xml:space="preserve">Milan/o</t>
  </si>
  <si>
    <t xml:space="preserve">N. Italy</t>
  </si>
  <si>
    <t xml:space="preserve">150000</t>
  </si>
  <si>
    <t xml:space="preserve">Mojenodaro</t>
  </si>
  <si>
    <t xml:space="preserve">2600-1800 BCE</t>
  </si>
  <si>
    <t xml:space="preserve">Harrapa</t>
  </si>
  <si>
    <t xml:space="preserve">Kenoyer, Jonathan M. 1998. Ancient Cities of the Indus Valley Civilization. New York: Oxford University Press: p. 50.</t>
  </si>
  <si>
    <t xml:space="preserve">Monte Alban</t>
  </si>
  <si>
    <t xml:space="preserve">400-600 CE</t>
  </si>
  <si>
    <t xml:space="preserve">Zapotec</t>
  </si>
  <si>
    <t xml:space="preserve">Walled (partial)</t>
  </si>
  <si>
    <t xml:space="preserve">Blanton, Richard. 1978. Monte Albán: Settlement Patterns at the Ancient Zapotec Capital. New York: Academic Press: Table 4.1 p. 68 (N), p. 44 (A).</t>
  </si>
  <si>
    <t xml:space="preserve">Mycenae</t>
  </si>
  <si>
    <t xml:space="preserve">1300-1200 BCE</t>
  </si>
  <si>
    <t xml:space="preserve">Mycenaean Greece</t>
  </si>
  <si>
    <t xml:space="preserve">Shelmerdine, Cynthia W., and John Bennet. 2008. “Mycenaean States: Economy and Administration.” In The Cambridge Companion to the Aegean Bronze Age, edited by Cynthia W. Shelmerdine, 289–309. New York: Cambridge University Press. p. 289 (A). Density of 200 p/ha given but this is far too high given comparative evidence which suggests 40-60 p/ha, see p. 31 in Price, Simon. 2011. “Estimating Ancient Greek Populations: The Evidence of Field Survey.” In Settlement, Urbanization, and Population, edited by Alan Bowman and Andrew Wilson, 17–35. New York: Oxford University Press.</t>
  </si>
  <si>
    <t xml:space="preserve">Nanjing</t>
  </si>
  <si>
    <t xml:space="preserve">1373 CE</t>
  </si>
  <si>
    <t xml:space="preserve">Mote, Frederick W. 1977. “The Transformation of Nanking, 1350-1400.” In The City in Late Imperial China, edited by G. William Skinner, 101–54. Standford, CA: Stanford University Press: 138 (N). A estimated as 10 sq. miles ~ 2600 ha using Mote, Frederick W., and Denis Twitchett, eds. 1998. The Cambridge History of China, Volume 7: The Ming Dynasty, 1368-1644, Part I. New York: Cambridge University Press, Map 3, p. 75.</t>
  </si>
  <si>
    <t xml:space="preserve">Naples</t>
  </si>
  <si>
    <t xml:space="preserve">Kingdom of Naples</t>
  </si>
  <si>
    <t xml:space="preserve">Braudel, Fernand. 1981. Civilization and Capitalism, 15th-18th Century, Volume I: The Structures of Everyday Life. New York: Harper &amp; Row, p. 532. Area is of the UNESCO 'Historic Centre of Naples', documents can be found at: https://whc.unesco.org/en/list/726/.</t>
  </si>
  <si>
    <t xml:space="preserve">New York</t>
  </si>
  <si>
    <t xml:space="preserve">1800 CE</t>
  </si>
  <si>
    <t xml:space="preserve">United States</t>
  </si>
  <si>
    <t xml:space="preserve">Rothchild, Nan A. 2006. “Colonial and Postcolonial New York: Issues of Size, Scale, and Structure.” In Urbanism in the Preindustrial World: Cross-Cultural Approaches, edited by Glenn R Storey, 121–36. Tuscaloosa: University of Alabama Press, p. 126.</t>
  </si>
  <si>
    <t xml:space="preserve">Ninevah</t>
  </si>
  <si>
    <t xml:space="preserve">705-681 BCE</t>
  </si>
  <si>
    <t xml:space="preserve">Neo-Assyrian Empire</t>
  </si>
  <si>
    <t xml:space="preserve">Frahm, Eckart. 2008. “The Great City: Nineveh in the Age of Sennacherib.” Journal of the Canadian Society for Mesopotamian Studies 3:13–20. (A, N). Liverani, Mario. 2013. The Ancient Near East: History, Society and Economy. New York: Routledge. p. 497. (N)</t>
  </si>
  <si>
    <t xml:space="preserve">Nishapur</t>
  </si>
  <si>
    <t xml:space="preserve">Bulliet, Richard W. 2018. “Why Nishapur?” Eurasian Studies 16 (1–2): 100–123, p. 103</t>
  </si>
  <si>
    <t xml:space="preserve">Palermo</t>
  </si>
  <si>
    <t xml:space="preserve">1270 CE</t>
  </si>
  <si>
    <t xml:space="preserve">Kingdom of Sicily</t>
  </si>
  <si>
    <t xml:space="preserve">Bresc, Henri. 2013. “Palermo in the 14th-15th Century: Urban Economy and Trade.” In A Companion to Medieval Palermo: The History of a Mediterranean City from 600 to 1500, edited by Anneliese Nef, 235–68. Boston: Brill. p. 236.</t>
  </si>
  <si>
    <t xml:space="preserve">Pampa Grande</t>
  </si>
  <si>
    <t xml:space="preserve">500-700 CE</t>
  </si>
  <si>
    <t xml:space="preserve">Moche</t>
  </si>
  <si>
    <t xml:space="preserve">Shimada, Izumi. 1994. Pampa Grande and the Mochica Culture. Austin: University of Texas Press. N: pp. 9, 119. Area is given as ~6km2 analysis of the site map (Figure 7.3, p. 139) shows that it is no larger than 2x2km2. Wilson 1988:334 gives 5km2.</t>
  </si>
  <si>
    <t xml:space="preserve">Paris I</t>
  </si>
  <si>
    <t xml:space="preserve">600-1200 CE</t>
  </si>
  <si>
    <t xml:space="preserve">Merovingian/Carolingian kingdoms</t>
  </si>
  <si>
    <t xml:space="preserve">Geary, Patrick J. 1988. Before France and Germany: The Creation and Transformation of the Merovingian World. New York: Oxford University Press, 1988. p. 98 (N). Kibler, William W, Grover A Zinn, Lawrence Earp, and John Henneman, eds. 2013. Medieval France: An Encyclopedia. New York: Routledge, 2013. p. 1316 (N). Bairoch, Paul. 1991. Cities and Economic Development: From the Dawn of History to the Present. Chicago: University of Chicago Press, 1991. p.119 (N = 20-25k , c. 1000). I assume the area enclosed by the Phililp Augustus Wall (finished c. 1200) enclosed all of the possible built-up area at this time, see: Jones, Colin. 2004. Paris: Biography of a City. New York: Allen Lane, 2004. p. 545.</t>
  </si>
  <si>
    <t xml:space="preserve">Paris II</t>
  </si>
  <si>
    <t xml:space="preserve">Capetian/Valois France</t>
  </si>
  <si>
    <t xml:space="preserve">Patilipurtra</t>
  </si>
  <si>
    <t xml:space="preserve">600-300 BCE</t>
  </si>
  <si>
    <t xml:space="preserve">Mauryan Empire</t>
  </si>
  <si>
    <t xml:space="preserve">Coningham, Robin, and Ruth Young. 2015. The Archaeology of South Asia: From the Indus to Asoka, c. 6500 BCE–200 CE. New York: Cambridge University Press: 419.</t>
  </si>
  <si>
    <t xml:space="preserve">Pergamon</t>
  </si>
  <si>
    <t xml:space="preserve">283-133 BCE</t>
  </si>
  <si>
    <t xml:space="preserve">Attalid dynasty</t>
  </si>
  <si>
    <t xml:space="preserve">Hanson, J. W. 2011. “The Urban System of Roman Asia Minor.” In Settlement, Urbanization, and Population, edited by Alan Bowman and Andrew Wilson, 17–35. New York: Oxford University Press. p. 253 (N), Table 9.1, p. 254 (A). Note: The population range is given in Radt 1999 which is in German so I am unable to investigate further. On the basis of comparative evidence given by Hanson this seems to be a reasonable estimate.</t>
  </si>
  <si>
    <t xml:space="preserve">Pi-Ramesses</t>
  </si>
  <si>
    <t xml:space="preserve">1293-1070 BCE</t>
  </si>
  <si>
    <t xml:space="preserve">New Kingdom Egypt - Ramesside Period</t>
  </si>
  <si>
    <t xml:space="preserve">Moreno García, Juan Carlos. 2014. “Invaders or Just Herders? Libyans in Egypt in the Third and Second Millennia BCE.” World Archaeology 46 (4): 610–23, p. 620. Alternate estimates of 100000/350ha are given in Mumford 2010:Table 18.1</t>
  </si>
  <si>
    <t xml:space="preserve">Rhodes</t>
  </si>
  <si>
    <t xml:space="preserve">c 300 BCE</t>
  </si>
  <si>
    <t xml:space="preserve">Smith, Michael E. 2023. Urban Life in the Distant Past: The Prehistory of Energized Crowding. New York: Cambridge University Press, 2023. p. 94</t>
  </si>
  <si>
    <t xml:space="preserve">Rome I</t>
  </si>
  <si>
    <t xml:space="preserve">600-500 BCE</t>
  </si>
  <si>
    <t xml:space="preserve">Roman Kingdom</t>
  </si>
  <si>
    <t xml:space="preserve">Cornell, T. J. 1995. The Beginnings of Rome: Italy and Rome from the Bronze Age to the Punic Wars (c. 1000--264 BC). New York: Routledge, 204, 207 (A, N).</t>
  </si>
  <si>
    <t xml:space="preserve">Rome II</t>
  </si>
  <si>
    <t xml:space="preserve">400-300 BCE</t>
  </si>
  <si>
    <t xml:space="preserve">Roman Republic</t>
  </si>
  <si>
    <t xml:space="preserve">Cornell, T. J. 1995. The Beginnings of Rome: Italy and Rome from the Bronze Age to the Punic Wars (c. 1000--264 BC). New York: Routledge, 204 (A). Lomas, Kathryn. 2018. The Rise of Rome: From the Iron Age to the Punic Wars. Cambridge: Harvard University Press, 221 (N).</t>
  </si>
  <si>
    <t xml:space="preserve">Rome III</t>
  </si>
  <si>
    <t xml:space="preserve">200-300 CE</t>
  </si>
  <si>
    <t xml:space="preserve">Roman Empire</t>
  </si>
  <si>
    <t xml:space="preserve">Morley, Neville. 2013. “Population Size and Social Structure.” In The Cambridge Companion to Ancient Rome, edited by Paul Erdkamp, 29–44. New York: Cambridge University Press: 33, 42 (N); Hanson, John W, and Scott G Ortman. 2017. “A Systematic Method for Estimating the Populations of Greek and Roman Settlements.” Journal of Roman Archaeology 30:301–24: Table 6 (A). See also map of Imperial Rome in Kulikowski, Michael. 2016. The Triumph of Empire: The Roman World from Hadrian to Constantine. Harvard University Press, p. 69 which yields an estimated (4 x 4.5 km) 1800 ha.</t>
  </si>
  <si>
    <t xml:space="preserve">Rome IV</t>
  </si>
  <si>
    <t xml:space="preserve">400-450 CE</t>
  </si>
  <si>
    <t xml:space="preserve">Western Roman Empire</t>
  </si>
  <si>
    <t xml:space="preserve">Wickham, Chris. 2005. Framing the Early Middle Ages: Europe and the Mediterranean, 400-800. New York: Oxford University Press, 2005. p. 73 (N). Claridge, Amanda. 2010. Rome: An Oxford Archaeological Guide. 2nd ed. New York: Oxford University Press, 2010. p. 61 (A). I assume the entire population was now contained within the Aurelian Walls.</t>
  </si>
  <si>
    <t xml:space="preserve">Samarkand</t>
  </si>
  <si>
    <t xml:space="preserve">1400-1500 CE</t>
  </si>
  <si>
    <t xml:space="preserve">Timirid Empire</t>
  </si>
  <si>
    <t xml:space="preserve">Wood, Frances. 2002. The Silk Road: Two Thousand Years in the Heart of Asia. Los Angeles: University of California Press, p. 138 (A). Marozzi, Justin. 2006. Tamerlane: Sword of Islam, Conqueror of the World. Cambridge: Da Capo Press, p. 201 (N).</t>
  </si>
  <si>
    <t xml:space="preserve">Samarra</t>
  </si>
  <si>
    <t xml:space="preserve">835-893 CE</t>
  </si>
  <si>
    <t xml:space="preserve">Adams, Robert McC. 1965. Land behind Baghdad: A History of Settlement on the Diyala Plains. Chicago: University of Chicago Press, 1965. pp. 90 (N), 88 (A).  </t>
  </si>
  <si>
    <t xml:space="preserve">San Jose Mogote</t>
  </si>
  <si>
    <t xml:space="preserve">1150-850 BCE</t>
  </si>
  <si>
    <t xml:space="preserve">Marcus, Joyce, and Kent V. Flannery. 1996. Zapotec Civilization: How Urban Society Evolved in Mexico’s Oaxaca Valley. London: Thames &amp; Hudson, p. 106. See Kowalewski, Stephen A., Gary M. Feinman, Laura Finsten, Richard E. Blanton, and Linda M. Nicholas. 1989. Monte Alban’s Hinterland, Part II: The Prehispanic Settlement Patterns of the Central and Southern Parts of the Valley of Oaxaca, Mexico. Memoirs of the University of Michigan Museum of Anthropology 23. Ann Arbor: University of Michigan Press, p. for discussion of the problem with these estimates.</t>
  </si>
  <si>
    <t xml:space="preserve">San Lorenzo</t>
  </si>
  <si>
    <t xml:space="preserve">1400-1000 BCE</t>
  </si>
  <si>
    <t xml:space="preserve">Olmec</t>
  </si>
  <si>
    <t xml:space="preserve">Pool, Christopher. 2007. Olmec Archeology and Early Mesoamerica. New York: Cambridge University Press. p. 100 (A). Symonds, Stacey, Ann Cyphers, and Roberto Lunagómez. 2002. Asentamiento Prehispánico En San Lorenzo Tenochtitlán. Mexico City: Universidad Nacional Autónoma de Mexico. Figure 4.4, p. 57 (N).</t>
  </si>
  <si>
    <t xml:space="preserve">Sayil</t>
  </si>
  <si>
    <t xml:space="preserve">800-1000 CE</t>
  </si>
  <si>
    <t xml:space="preserve">Sharer, Robert J, and Loa P Traxler. 2006. The Ancient Maya. 6th ed. Standford, CA: Stanford University Press. Table 12.3, p. 688 (A, N).</t>
  </si>
  <si>
    <t xml:space="preserve">Seleucia</t>
  </si>
  <si>
    <t xml:space="preserve">305 BCE</t>
  </si>
  <si>
    <t xml:space="preserve">Aperghis, Gerassimos George. 2004. The Seleukid Royal Economy: The Finances and Financial Administration of the Seleukid Empire. New York: Cambridge University Press, pp. 37, 95. Cf. Adams 1965:72 that gives an area of 540.</t>
  </si>
  <si>
    <t xml:space="preserve">Sparta</t>
  </si>
  <si>
    <t xml:space="preserve">Spartan polis</t>
  </si>
  <si>
    <t xml:space="preserve">Hansen, Mogens Herman. 2004. “The Concept of the Consumption City Applied to the Greek Polis.” In Once Again: Studies in the Ancient Greek Polis, edited by Thomas Heine Nielsen, 9–48. Papers from the Copenhagen Polis Center 7. Stuttgart: Franz Steiner Verlag: 22. https://books.google.com/books?id=oafCBYBbMRgC&amp;pg=PA22#v=onepage&amp;q&amp;f=false</t>
  </si>
  <si>
    <t xml:space="preserve">St. Petersburg</t>
  </si>
  <si>
    <t xml:space="preserve">1784-1800</t>
  </si>
  <si>
    <t xml:space="preserve">Imperial Russia</t>
  </si>
  <si>
    <t xml:space="preserve">Braudel, Fernand. 1981. Civilization and Capitalism, 15th-18th Century, Volume I: The Structures of Everyday Life. New York: Harper &amp; Row. p. 538 (N); Mitchell, Brian. 1992. International Historical Statistics: Europe 1750-1993. London: Macmillan. p. 73 (N). Area estimated using Google Maps based on areas inhabitated in maps of c 1800 St Petersburg at  https://commons.wikimedia.org/wiki/Category:1800s_map_of_Saint_Petersburg</t>
  </si>
  <si>
    <t xml:space="preserve">Syracuse</t>
  </si>
  <si>
    <t xml:space="preserve">485-478 BCE</t>
  </si>
  <si>
    <t xml:space="preserve">Syracusan</t>
  </si>
  <si>
    <t xml:space="preserve">De Angelis, Franco. 2016. Archaic and Classical Greek Sicily: A Social and Economic History. New York: Oxford University Press: 184</t>
  </si>
  <si>
    <t xml:space="preserve">Tehran</t>
  </si>
  <si>
    <t xml:space="preserve">1861 CE</t>
  </si>
  <si>
    <t xml:space="preserve">Qaqar dynasty</t>
  </si>
  <si>
    <t xml:space="preserve">Bosworth, Clifford E. 2007. “Tehran.” In Historic Cities of the Islamic World, edited by Clifford E. Bosworth, 503–20. Leiden: Brill. p. 508</t>
  </si>
  <si>
    <t xml:space="preserve">Tenochtitlan</t>
  </si>
  <si>
    <t xml:space="preserve">1325-1519 CE</t>
  </si>
  <si>
    <t xml:space="preserve">Aztec</t>
  </si>
  <si>
    <t xml:space="preserve">Smith, Michael E. 2008. Aztec City-State Capitals. Gainesville: University of Florida Press: 28, Table 2.1; 151-3, Table 6.1.</t>
  </si>
  <si>
    <t xml:space="preserve">Teotihuacan</t>
  </si>
  <si>
    <t xml:space="preserve">250-550 CE</t>
  </si>
  <si>
    <t xml:space="preserve">Cowgill, George L. 2015. Ancient Teotihuacan: Early Urbanism in Central Mexico. New York: Cambridge University Press: pp. 140-3 (N), 154 (A). </t>
  </si>
  <si>
    <t xml:space="preserve">Texcoco</t>
  </si>
  <si>
    <t xml:space="preserve">c. 1400 CE</t>
  </si>
  <si>
    <t xml:space="preserve">Acolhua empire</t>
  </si>
  <si>
    <t xml:space="preserve">Smith, Michael E. 2008. Aztec City-State Capitals. Gainesville: University of Florida Press, 2008. pp. 37-9.</t>
  </si>
  <si>
    <t xml:space="preserve">Thebes</t>
  </si>
  <si>
    <t xml:space="preserve">1200-1500 BCE</t>
  </si>
  <si>
    <t xml:space="preserve">Middle Kingdom Egypt</t>
  </si>
  <si>
    <t xml:space="preserve">Moeller, Nadine. 2016. The Archaeology of Urbanism in Ancient Egypt: From the Predynastic Period to the End of the Middle Kingdom. New York: Cambridge University Press, p. 305 (A). Population range calculated by assuming 1/2 of the area is residential (see Figure 8.38, p. 303), houses are 100m^2 + 1.5m on either side for streets = 132.25m2 (as are found throughout Middle Kingdom settlements (see pp. 315-16, 347-350), and households = 5 persons.</t>
  </si>
  <si>
    <t xml:space="preserve">Thessalonika</t>
  </si>
  <si>
    <t xml:space="preserve">Macedon (Hellenistic kingdom)</t>
  </si>
  <si>
    <t xml:space="preserve">Needs further investigation: Population estimates are Roman, not Hellenistic. Wilson, Andrew. 2011. “City Sizes and Urbanization in the Roman Empire.” In Settlement, Urbanization, and Population, edited by Alan Bowman and Andrew Wilson, 161–95. New York: Oxford University Press, 2011. p. 191 (N=30k). Hanson, John W., Scott G. Ortman, Luís MA Bettencourt, and Liam C. Mazur. 2019. “Urban Form, Infrastructure and Spatial Organisation in the Roman Empire.” Antiquity 93 (369): 702–18. SI data set gives N = 50430, A= 131. Area estimated from area enclosed by walls on map https://upload.wikimedia.org/wikipedia/commons/9/96/Thessaloniki_historic_city_centre.svg</t>
  </si>
  <si>
    <t xml:space="preserve">Tikal</t>
  </si>
  <si>
    <t xml:space="preserve">300-900 CE</t>
  </si>
  <si>
    <t xml:space="preserve">Sharer, Robert J, and Loa P Traxler. 2006. The Ancient Maya. 6th ed. Standford, CA: Stanford University Press. Table 12.3, p. 688.</t>
  </si>
  <si>
    <t xml:space="preserve">Tiwanaku</t>
  </si>
  <si>
    <t xml:space="preserve">Bandy, Matthew S. 2013. “Demographic Dimensions of Tiwanaku Urbanism.” In Advances in Titicaca Basin Archaeology, edited by Alexei Vranich and Abigail R. Levine, 2:79–87. Los Angeles: Cotsen Institute of Archaeology, University of California. (A). Kolata, Alan, and Carlos Ponce Sanginés. 1992. “Tiwanaku: The City at the Center.” In The Ancient Americas: Art from Sacred Landscapes, edited by Richard F. Townsend, 317–34. Munich: The Art Institute of Chicago and Prestel Verlag. (N)</t>
  </si>
  <si>
    <t xml:space="preserve">Tula</t>
  </si>
  <si>
    <t xml:space="preserve">900-1150 CE</t>
  </si>
  <si>
    <t xml:space="preserve">Toltec</t>
  </si>
  <si>
    <t xml:space="preserve">Healan, Dan M. 2012. “The Archaeology of Tula, Hidalgo, Mexico.” Journal of Archaeological Research 20 (1): 53–115: p. 66.</t>
  </si>
  <si>
    <t xml:space="preserve">Tyre</t>
  </si>
  <si>
    <t xml:space="preserve">800-600 BCE</t>
  </si>
  <si>
    <t xml:space="preserve">Phoenicia (Tyre-Sidon Kingdom)</t>
  </si>
  <si>
    <t xml:space="preserve">Aubet, Maria Eugenia. 2001. The Phoenicians and the West: Politics, Colonies and Trade. 2nd ed. New York: Cambridge University Press: 34. Population is estimated for c. 330 BCE so 20k in 800-600 BCE seems reasonable for a lower bound estimate.</t>
  </si>
  <si>
    <t xml:space="preserve">Unknown [5Mt5] </t>
  </si>
  <si>
    <t xml:space="preserve">Mesa Verde</t>
  </si>
  <si>
    <t xml:space="preserve">Ortman, Scott G., José Lobo, and Michael E. Smith. 2020. “Cities: Complexity, Theory, and History.” PLOS One 15:e0243621. (SI: RowID # 5065)</t>
  </si>
  <si>
    <t xml:space="preserve">Unknown [SPP-TOP-TIP-1]</t>
  </si>
  <si>
    <t xml:space="preserve">Mixteca Alta</t>
  </si>
  <si>
    <t xml:space="preserve">Ortman, Scott G., José Lobo, and Michael E. Smith. 2020. “Cities: Complexity, Theory, and History.” PLOS One 15:e0243621. (SI: RowID # 5540)</t>
  </si>
  <si>
    <t xml:space="preserve">Ur</t>
  </si>
  <si>
    <t xml:space="preserve">2100-2000 BCE</t>
  </si>
  <si>
    <t xml:space="preserve">Ur III dynasty</t>
  </si>
  <si>
    <t xml:space="preserve">Hammer, Emily, and Angelo Di Michele. 2023. “The Suburbs of the Early Mesopotamian City of Ur (Tell al-Muqayyar, Iraq).” American Journal of Archaeology 127 (4): 449–79. p. 460 (A). Adams, Robert McC. 1981. Density range of 125-200 p/ha given in Heartland of Cities: Surveys of Ancient Settlement and Land Use on the Central Floodplain at the Euphrates. Chicago: University of Chicago Press. Average house size of 100m^2 estimated from Woolley, Leonard, and Max Mallowan. 1976. Ur Excavations, Volume VII: The Old Babylonian Period. London: British Museum Publications Limited. This gives 121m2 per house if .5m of street on each side is assumed. If 50% of the settlement is residential area and there are 5 persons per household, the site has a density of ~200 p/ha and a population of 22300.</t>
  </si>
  <si>
    <t xml:space="preserve">Uruk</t>
  </si>
  <si>
    <t xml:space="preserve">3500 BCE</t>
  </si>
  <si>
    <t xml:space="preserve">Uruk Mesopotaia</t>
  </si>
  <si>
    <t xml:space="preserve">Algaze, Guillermo. 2013. “The End of Prehistory and the Uruk Period.” In The Sumerian World, edited by Harriet Crawford. New York: Routledge, p. 74</t>
  </si>
  <si>
    <t xml:space="preserve">Venice</t>
  </si>
  <si>
    <t xml:space="preserve">1300 CE</t>
  </si>
  <si>
    <t xml:space="preserve">Republic of Venice</t>
  </si>
  <si>
    <t xml:space="preserve">Lane, Frederic Chapin. 1973. Venice, a Maritime Republic. Baltimore: Johns Hopkins University Press, p. 18 (N). Ferraro, Joanne M. 2012. Venice: History of the Floating City. New York: Cambridge University Press, pp. 19 (N), 99 (A). </t>
  </si>
  <si>
    <t xml:space="preserve">Vienna</t>
  </si>
  <si>
    <t xml:space="preserve">1850 CE</t>
  </si>
  <si>
    <t xml:space="preserve">Habsburg Empire</t>
  </si>
  <si>
    <t xml:space="preserve">Hall, Peter. 1998. Cities in Civilization. New York: Pantheon, p. 173. Area is the sum of areas for districts 1-9 (except 3) which is the area enclosed by the Linienwall (now Ringstrassue). A similar figure of 2330ha is arrived at using a 3x3 mile 1859 map available at https://en.wikipedia.org/wiki/Ringstrasse#/media/File:Wien1858.jpg.</t>
  </si>
  <si>
    <t xml:space="preserve">Vijayanagara</t>
  </si>
  <si>
    <t xml:space="preserve">1350-1550 CE</t>
  </si>
  <si>
    <t xml:space="preserve">Vijayanagaran Empire</t>
  </si>
  <si>
    <t xml:space="preserve">Asher, Catherine B, and Cynthia Talbot. 2022. India Before Europe. 2nd ed. New York: Cambridge University Press. p. 94.</t>
  </si>
  <si>
    <t xml:space="preserve">Wari</t>
  </si>
  <si>
    <t xml:space="preserve">650-950 CE</t>
  </si>
  <si>
    <t xml:space="preserve">Isbell, William H. 2008. “Wari and Tiwanaku: International Identities in the Central Andean Middle Horizon.” In The Handbook of South American Archaeology, edited by Helaine Silverman and William H. Isbell, 730–59, p. 750. Cf. Stanish, Charles. 2003. Ancient Titicaca: The Evolution of Complex Society in Southern Peru and Northern Bolivia. Los Angeles: University of California Press, Table 8.1, p. 178: 20-70000 @ 500ha</t>
  </si>
  <si>
    <t xml:space="preserve">Xianyang</t>
  </si>
  <si>
    <t xml:space="preserve">350-206 BCE</t>
  </si>
  <si>
    <t xml:space="preserve">Qin China</t>
  </si>
  <si>
    <t xml:space="preserve">Lewis, Mark E. 2007. The Early Chinese Empires: Qin and Han. Cambridge: Harvard University Press, p. 89 (120,000 aristocratic households and others resettled in Xianyang). Xu, Hong. 2021. Dynamic Interpretation of Early Cities in Ancient China. Singapore: Springer, p. 54 (A).</t>
  </si>
  <si>
    <t xml:space="preserve">Xochicalco</t>
  </si>
  <si>
    <t xml:space="preserve">650-900 CE</t>
  </si>
  <si>
    <t xml:space="preserve">Hirth, Kenneth W, ed. 2000. Archaeological Research at Xochicalco. Volume 1, Ancient Urbanism at Xochicalco: The Evolution and Organization of a Pre-Hispanic Society. 2 vols. University of Utah Press. p. 68 (A, N).</t>
  </si>
  <si>
    <t xml:space="preserve"> </t>
  </si>
  <si>
    <t xml:space="preserve">Sinopoli, Carla. 2000. “From the Lion Throne: Political and Social Dynamics of the Vijayanagara Empire.” Journal of the Economic and Social History of the Orient 43 (3): 364–98, p. 370 (N). A estimated from Figure 1.3, p. 9 in Sinopoli, Carla M, and Kathleen D Morrison. 2007. The Vijayanagara Metropolitan Survey, Volume I. Ann Arbor: Museum of Anthropology, University of Michigan.</t>
  </si>
  <si>
    <t xml:space="preserve">Ai Khanum</t>
  </si>
  <si>
    <t xml:space="preserve">Indo-Greek kingdom</t>
  </si>
  <si>
    <t xml:space="preserve">A p. 109 History of civilizations of central Asia vol. 2</t>
  </si>
  <si>
    <t xml:space="preserve">Ain Ghazal</t>
  </si>
  <si>
    <t xml:space="preserve">Kostof p.29</t>
  </si>
  <si>
    <t xml:space="preserve">Persepolis</t>
  </si>
  <si>
    <t xml:space="preserve">515-333 BCE</t>
  </si>
  <si>
    <t xml:space="preserve">Achaemenid Empire</t>
  </si>
  <si>
    <t xml:space="preserve">Radner, Karen, Nadine Moeller, and Daniel T. Potts, eds. 2020–2023. The Oxford History of the Ancient Near East. 5 vols. New York: Oxford University Press, 5:444 (A). Chandler, Tertius. 1987. Four Thousand Years of Urban Growth: An Historical Census. 2nd ed. Lewiston, NY: Edwin Mellon Press, p. 461 (N, need better source).</t>
  </si>
  <si>
    <t xml:space="preserve">Mari</t>
  </si>
  <si>
    <t xml:space="preserve">2400-2300 BCE</t>
  </si>
  <si>
    <t xml:space="preserve">100-283</t>
  </si>
  <si>
    <t xml:space="preserve">Akkermans, Peter MMG, and Glenn M Schwartz. 2003. The Archaeology of Syria: From Complex Hunter-Gatherers to Early Urban Societies (c. 16,000-300 BC). New York: Cambridge University Press, p. 236 (A); Margueron in Crawford, The Sumerian world.</t>
  </si>
  <si>
    <t xml:space="preserve">Taxila-Sirsukh</t>
  </si>
  <si>
    <t xml:space="preserve">Kushan Empire</t>
  </si>
  <si>
    <t xml:space="preserve">Need to further investigate sources: Smith, Monica L. 2006. “The Archaeology of South Asian Cities.” Journal of Archaeological Research 14:97–142. p. 121 (A). The nearby contemporaneous settlement of Vichi (26 ha) has a residential density of 36 houses per hectare which would give Taxila a population of approximately 25000, see Litvinsky, B. A., and Janos Harmatta, eds. 1994. “Cities and Urban Life in the Kushan Kingdom.” In History of Civilizations of Central Asia, Volume II: The Development of Sedentary and Nomadic Civilizations: 700 B.C. to A.D. 250, 289–312. Paris: UNESCO Publishing, pp. 291-4.</t>
  </si>
  <si>
    <t xml:space="preserve">Bhaktapur</t>
  </si>
  <si>
    <t xml:space="preserve">NOT LARGEST SETTLEMENTS:</t>
  </si>
  <si>
    <t xml:space="preserve">pre-Seljuk</t>
  </si>
  <si>
    <t xml:space="preserve">le strange eastern</t>
  </si>
  <si>
    <t xml:space="preserve">2100-1763 BCE</t>
  </si>
  <si>
    <t xml:space="preserve">Ur III/Isin-Larsa</t>
  </si>
  <si>
    <t xml:space="preserve">Need to further investigate sources: Adams, Robert McC. 1981. Heartland of Cities: Surveys of Ancient Settlement and Land Use on the Central Floodplain at the Euphrates. Chicago: University of Chicago Press. p. 330 (A). Liverani, Mario. 2013. The Ancient Near East: History, Society and Economy. New York: Routledge. p. 161 (N).</t>
  </si>
  <si>
    <t xml:space="preserve">Ephesus</t>
  </si>
  <si>
    <t xml:space="preserve">Hellenistic</t>
  </si>
  <si>
    <t xml:space="preserve">Randsborg, Klavs. 1991. The First Millennium AD in Europe and the Mediterranean: An Archaeological Essay. New York: Cambridge University Press. p. 91 (A)</t>
  </si>
  <si>
    <t xml:space="preserve">Trier</t>
  </si>
  <si>
    <t xml:space="preserve">Western Roman/Tetrarchy</t>
  </si>
  <si>
    <t xml:space="preserve">Randsborg, Klavs. 1991. The First Millennium AD in Europe and the Mediterranean: An Archaeological Essay. New York: Cambridge University Press. p. 92 (A).</t>
  </si>
  <si>
    <t xml:space="preserve">Cadiz</t>
  </si>
  <si>
    <t xml:space="preserve">Cathagenian city-state</t>
  </si>
  <si>
    <t xml:space="preserve">Hellenistic-Roman continuity? Time of area unclear, before or after c. 200 BCE? Hanson, J. W. 2011. “The Urban System of Roman Asia Minor.” In Settlement, Urbanization, and Population, edited by Alan Bowman and Andrew Wilson. Oxford University Press. Table 9.1, p. 254.</t>
  </si>
  <si>
    <t xml:space="preserve">Rome II.2</t>
  </si>
  <si>
    <t xml:space="preserve">Potter, David. 2019. The Origin of Empire: Rome from the Republic to Hadrian. Cambridge: Harvard University Press. p. 218 (N). A?</t>
  </si>
  <si>
    <t xml:space="preserve">Cologne</t>
  </si>
  <si>
    <t xml:space="preserve">Need to further investigate sources: https://en.wikipedia.org/wiki/History_of_Cologne#Demographic_history_of_Cologne; area taken from walls of 1180, see https://en.wikipedia.org/wiki/History_of_Cologne#/media/File:K%C3%B6lnArnoldMercator.png  https://en.wikipedia.org/wiki/Colonia_Claudia_Ara_Agrippinensium</t>
  </si>
  <si>
    <t xml:space="preserve">Ravenna</t>
  </si>
  <si>
    <t xml:space="preserve">500-600 CE</t>
  </si>
  <si>
    <t xml:space="preserve">Ostrogothic kingdom</t>
  </si>
  <si>
    <t xml:space="preserve">Deliyannis, Deborah. 2010. Ravenna in Late Antiquity. New York: Cambridge University Press, 2010. pp. 52, 116 (A, N). Range of 5-10k is for imperial period given p. 50. CAPITAL BUT NOT LARGEST SETTLEMENT</t>
  </si>
  <si>
    <t xml:space="preserve">Seleucid but not largest/capital</t>
  </si>
  <si>
    <t xml:space="preserve">seleukid political economy</t>
  </si>
  <si>
    <t xml:space="preserve">Allepo</t>
  </si>
  <si>
    <t xml:space="preserve">1500-1700 CE</t>
  </si>
  <si>
    <t xml:space="preserve">Marcus Middle east on the eve of modernity: Allepo in the 18th century, p. 338</t>
  </si>
  <si>
    <t xml:space="preserve">Yautepec</t>
  </si>
  <si>
    <t xml:space="preserve">Smith, Michael E. 2023. Urban Life in the Distant Past: The Prehistory of Energized Crowding. New York: Cambridge University Press. p. 17, Table 1.1. NOT LARGEST SETTLEMENT</t>
  </si>
  <si>
    <t xml:space="preserve">Western Late Roman</t>
  </si>
  <si>
    <t xml:space="preserve">Heather, Peter. 2006. The Fall of the Roman Empire: A New History of Rome and the Barbarians. Oxford University Press. p. 32 (A).</t>
  </si>
  <si>
    <t xml:space="preserve">Catalhuyuk</t>
  </si>
  <si>
    <t xml:space="preserve">Nimrud/Kalhu</t>
  </si>
  <si>
    <t xml:space="preserve">800 BCE</t>
  </si>
  <si>
    <t xml:space="preserve">Assyrian empire</t>
  </si>
  <si>
    <t xml:space="preserve">Morris, Ian. 2013. The Measure of Civilization: How Social Development Decides the Fate of Nations. Princeton, NJ: Princeton University Press, 2013. p. 152. (N). Cunliffe, Barry. 2015. By Steppe, Desert, and Ocean: The Birth of Eurasia. New York: Oxford University Press, 2015. p. 162 (A).</t>
  </si>
  <si>
    <t xml:space="preserve">Ugarit</t>
  </si>
  <si>
    <t xml:space="preserve">Ugarit city-state</t>
  </si>
  <si>
    <t xml:space="preserve">Bastam</t>
  </si>
  <si>
    <t xml:space="preserve">Urartu</t>
  </si>
  <si>
    <t xml:space="preserve">Yervand H. Grekyan: The Settlement Size and Population Estimation of the Urartian Cities</t>
  </si>
</sst>
</file>

<file path=xl/styles.xml><?xml version="1.0" encoding="utf-8"?>
<styleSheet xmlns="http://schemas.openxmlformats.org/spreadsheetml/2006/main">
  <numFmts count="4">
    <numFmt numFmtId="164" formatCode="General"/>
    <numFmt numFmtId="165" formatCode="General"/>
    <numFmt numFmtId="166" formatCode="@"/>
    <numFmt numFmtId="167" formatCode="#,##0"/>
  </numFmts>
  <fonts count="8">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u val="single"/>
      <sz val="11"/>
      <color rgb="FF0000FF"/>
      <name val="Cambria"/>
      <family val="0"/>
      <charset val="1"/>
    </font>
    <font>
      <sz val="11"/>
      <color rgb="FF000000"/>
      <name val="Calibri"/>
      <family val="0"/>
      <charset val="1"/>
    </font>
    <font>
      <b val="true"/>
      <sz val="10"/>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myleszhang.org/2020/01/31/berlin/" TargetMode="External"/><Relationship Id="rId2" Type="http://schemas.openxmlformats.org/officeDocument/2006/relationships/hyperlink" Target="https://en.wikipedia.org/wiki/Fortifications_of_Brussels" TargetMode="External"/><Relationship Id="rId3" Type="http://schemas.openxmlformats.org/officeDocument/2006/relationships/hyperlink" Target="https://whc.unesco.org/en/list/313/documents/" TargetMode="External"/><Relationship Id="rId4" Type="http://schemas.openxmlformats.org/officeDocument/2006/relationships/hyperlink" Target="https://en.wikipedia.org/wiki/File:Tokio1896.jpg" TargetMode="External"/><Relationship Id="rId5" Type="http://schemas.openxmlformats.org/officeDocument/2006/relationships/hyperlink" Target="https://whc.unesco.org/en/list/726/" TargetMode="External"/><Relationship Id="rId6" Type="http://schemas.openxmlformats.org/officeDocument/2006/relationships/hyperlink" Target="https://books.google.com/books?id=oafCBYBbMRgC&amp;pg=PA22" TargetMode="External"/><Relationship Id="rId7" Type="http://schemas.openxmlformats.org/officeDocument/2006/relationships/hyperlink" Target="https://commons.wikimedia.org/wiki/Category:1800s_map_of_Saint_Petersburg" TargetMode="External"/><Relationship Id="rId8" Type="http://schemas.openxmlformats.org/officeDocument/2006/relationships/hyperlink" Target="https://upload.wikimedia.org/wikipedia/commons/9/96/Thessaloniki_historic_city_centre.svg" TargetMode="External"/><Relationship Id="rId9" Type="http://schemas.openxmlformats.org/officeDocument/2006/relationships/hyperlink" Target="https://en.wikipedia.org/wiki/Ringstrasse"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en.wikipedia.org/wiki/Colonia_Claudia_Ara_Agrippinensiu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V130" activeCellId="0" sqref="V130"/>
    </sheetView>
  </sheetViews>
  <sheetFormatPr defaultColWidth="12.640625" defaultRowHeight="15.75" zeroHeight="false" outlineLevelRow="0" outlineLevelCol="0"/>
  <sheetData>
    <row r="1" customFormat="false" ht="15.75" hidden="false" customHeight="false" outlineLevel="0" collapsed="false">
      <c r="A1" s="1" t="s">
        <v>0</v>
      </c>
      <c r="B1" s="2" t="s">
        <v>1</v>
      </c>
      <c r="C1" s="2" t="s">
        <v>2</v>
      </c>
      <c r="D1" s="2" t="s">
        <v>3</v>
      </c>
      <c r="E1" s="2" t="s">
        <v>4</v>
      </c>
      <c r="F1" s="1" t="s">
        <v>5</v>
      </c>
      <c r="G1" s="1" t="s">
        <v>6</v>
      </c>
      <c r="H1" s="1" t="s">
        <v>7</v>
      </c>
      <c r="I1" s="1" t="s">
        <v>8</v>
      </c>
      <c r="J1" s="1" t="s">
        <v>9</v>
      </c>
      <c r="K1" s="1" t="s">
        <v>10</v>
      </c>
      <c r="L1" s="1" t="s">
        <v>11</v>
      </c>
      <c r="M1" s="1" t="s">
        <v>12</v>
      </c>
      <c r="N1" s="1" t="s">
        <v>13</v>
      </c>
    </row>
    <row r="2" customFormat="false" ht="15.75" hidden="false" customHeight="false" outlineLevel="0" collapsed="false">
      <c r="A2" s="1" t="s">
        <v>14</v>
      </c>
      <c r="B2" s="2" t="s">
        <v>15</v>
      </c>
      <c r="C2" s="2" t="s">
        <v>16</v>
      </c>
      <c r="D2" s="2" t="s">
        <v>17</v>
      </c>
      <c r="E2" s="2" t="s">
        <v>18</v>
      </c>
      <c r="F2" s="1" t="n">
        <v>300000</v>
      </c>
      <c r="G2" s="1" t="n">
        <v>500000</v>
      </c>
      <c r="H2" s="1" t="n">
        <f aca="false">AVERAGE(F2:G2)</f>
        <v>400000</v>
      </c>
      <c r="I2" s="1" t="n">
        <v>1144</v>
      </c>
      <c r="J2" s="1" t="n">
        <f aca="false">LOG10(H2)</f>
        <v>5.60205999132796</v>
      </c>
      <c r="K2" s="1" t="n">
        <f aca="false">LOG10(I2)</f>
        <v>3.05842602445701</v>
      </c>
      <c r="L2" s="1" t="n">
        <f aca="false">(J2-K2)</f>
        <v>2.54363396687096</v>
      </c>
      <c r="M2" s="1" t="n">
        <f aca="false">POWER(10,J2-K2)</f>
        <v>349.65034965035</v>
      </c>
      <c r="N2" s="1" t="s">
        <v>19</v>
      </c>
    </row>
    <row r="3" customFormat="false" ht="15.75" hidden="false" customHeight="false" outlineLevel="0" collapsed="false">
      <c r="A3" s="1" t="s">
        <v>20</v>
      </c>
      <c r="B3" s="2" t="s">
        <v>21</v>
      </c>
      <c r="C3" s="2" t="s">
        <v>22</v>
      </c>
      <c r="D3" s="2" t="s">
        <v>17</v>
      </c>
      <c r="E3" s="2" t="s">
        <v>18</v>
      </c>
      <c r="F3" s="1" t="n">
        <v>200000</v>
      </c>
      <c r="G3" s="1" t="n">
        <v>200000</v>
      </c>
      <c r="H3" s="1" t="n">
        <v>200000</v>
      </c>
      <c r="I3" s="1" t="n">
        <v>1000</v>
      </c>
      <c r="J3" s="1" t="n">
        <f aca="false">LOG10(H3)</f>
        <v>5.30102999566398</v>
      </c>
      <c r="K3" s="1" t="n">
        <f aca="false">LOG10(I3)</f>
        <v>3</v>
      </c>
      <c r="L3" s="1" t="n">
        <f aca="false">(J3-K3)</f>
        <v>2.30102999566398</v>
      </c>
      <c r="M3" s="1" t="n">
        <f aca="false">POWER(10,J3-K3)</f>
        <v>200</v>
      </c>
      <c r="N3" s="1" t="s">
        <v>23</v>
      </c>
    </row>
    <row r="4" customFormat="false" ht="15.75" hidden="false" customHeight="false" outlineLevel="0" collapsed="false">
      <c r="A4" s="1" t="s">
        <v>24</v>
      </c>
      <c r="B4" s="2" t="s">
        <v>25</v>
      </c>
      <c r="C4" s="2" t="s">
        <v>26</v>
      </c>
      <c r="D4" s="2" t="s">
        <v>17</v>
      </c>
      <c r="E4" s="2" t="s">
        <v>27</v>
      </c>
      <c r="H4" s="1" t="n">
        <v>115000</v>
      </c>
      <c r="I4" s="1" t="n">
        <v>481.7</v>
      </c>
      <c r="J4" s="3" t="n">
        <f aca="false">LOG10(H4)</f>
        <v>5.06069784035361</v>
      </c>
      <c r="K4" s="3" t="n">
        <f aca="false">LOG10(I4)</f>
        <v>2.68277664631443</v>
      </c>
      <c r="L4" s="1" t="n">
        <f aca="false">(J4-K4)</f>
        <v>2.37792119403918</v>
      </c>
      <c r="M4" s="1" t="n">
        <f aca="false">POWER(10,J4-K4)</f>
        <v>238.737803612207</v>
      </c>
      <c r="N4" s="1" t="s">
        <v>28</v>
      </c>
    </row>
    <row r="5" customFormat="false" ht="15.75" hidden="false" customHeight="false" outlineLevel="0" collapsed="false">
      <c r="A5" s="1" t="s">
        <v>29</v>
      </c>
      <c r="B5" s="2" t="s">
        <v>30</v>
      </c>
      <c r="C5" s="2" t="s">
        <v>31</v>
      </c>
      <c r="D5" s="2" t="s">
        <v>17</v>
      </c>
      <c r="E5" s="2" t="s">
        <v>18</v>
      </c>
      <c r="F5" s="1" t="n">
        <v>700000</v>
      </c>
      <c r="G5" s="1" t="n">
        <v>900000</v>
      </c>
      <c r="H5" s="3" t="n">
        <f aca="false">AVERAGE(F5:G5)</f>
        <v>800000</v>
      </c>
      <c r="I5" s="1" t="n">
        <v>3000</v>
      </c>
      <c r="J5" s="1" t="n">
        <f aca="false">LOG10(H5)</f>
        <v>5.90308998699194</v>
      </c>
      <c r="K5" s="1" t="n">
        <f aca="false">LOG10(I5)</f>
        <v>3.47712125471966</v>
      </c>
      <c r="L5" s="1" t="n">
        <f aca="false">(J5-K5)</f>
        <v>2.42596873227228</v>
      </c>
      <c r="M5" s="1" t="n">
        <f aca="false">POWER(10,J5-K5)</f>
        <v>266.666666666667</v>
      </c>
      <c r="N5" s="1" t="s">
        <v>32</v>
      </c>
    </row>
    <row r="6" customFormat="false" ht="15.75" hidden="false" customHeight="false" outlineLevel="0" collapsed="false">
      <c r="A6" s="1" t="s">
        <v>33</v>
      </c>
      <c r="B6" s="2" t="s">
        <v>34</v>
      </c>
      <c r="C6" s="2" t="s">
        <v>35</v>
      </c>
      <c r="D6" s="2" t="s">
        <v>17</v>
      </c>
      <c r="E6" s="2" t="s">
        <v>27</v>
      </c>
      <c r="F6" s="1" t="n">
        <v>100000</v>
      </c>
      <c r="G6" s="1" t="n">
        <v>200000</v>
      </c>
      <c r="H6" s="1" t="n">
        <f aca="false">AVERAGE(F6,G6)</f>
        <v>150000</v>
      </c>
      <c r="I6" s="1" t="n">
        <v>225</v>
      </c>
      <c r="J6" s="1" t="n">
        <f aca="false">LOG10(H6)</f>
        <v>5.17609125905568</v>
      </c>
      <c r="K6" s="3" t="n">
        <f aca="false">LOG10(I6)</f>
        <v>2.35218251811136</v>
      </c>
      <c r="L6" s="1" t="n">
        <f aca="false">(J6-K6)</f>
        <v>2.82390874094432</v>
      </c>
      <c r="M6" s="1" t="n">
        <f aca="false">POWER(10,J6-K6)</f>
        <v>666.666666666667</v>
      </c>
      <c r="N6" s="1" t="s">
        <v>36</v>
      </c>
    </row>
    <row r="7" customFormat="false" ht="15.75" hidden="false" customHeight="false" outlineLevel="0" collapsed="false">
      <c r="A7" s="1" t="s">
        <v>37</v>
      </c>
      <c r="B7" s="2" t="s">
        <v>38</v>
      </c>
      <c r="C7" s="2" t="s">
        <v>39</v>
      </c>
      <c r="D7" s="2" t="s">
        <v>17</v>
      </c>
      <c r="E7" s="2" t="s">
        <v>27</v>
      </c>
      <c r="F7" s="1" t="n">
        <v>200000</v>
      </c>
      <c r="G7" s="1" t="n">
        <v>400000</v>
      </c>
      <c r="H7" s="1" t="n">
        <f aca="false">AVERAGE(F7,G7)</f>
        <v>300000</v>
      </c>
      <c r="I7" s="1" t="n">
        <f aca="false">(573.5+1250)/2</f>
        <v>911.75</v>
      </c>
      <c r="J7" s="1" t="n">
        <f aca="false">LOG10(H7)</f>
        <v>5.47712125471966</v>
      </c>
      <c r="K7" s="3" t="n">
        <f aca="false">LOG10(I7)</f>
        <v>2.95987577198582</v>
      </c>
      <c r="L7" s="1" t="n">
        <f aca="false">(J7-K7)</f>
        <v>2.51724548273384</v>
      </c>
      <c r="M7" s="1" t="n">
        <f aca="false">POWER(10,J7-K7)</f>
        <v>329.037565122018</v>
      </c>
      <c r="N7" s="1" t="s">
        <v>40</v>
      </c>
    </row>
    <row r="8" customFormat="false" ht="15.75" hidden="false" customHeight="false" outlineLevel="0" collapsed="false">
      <c r="A8" s="1" t="s">
        <v>41</v>
      </c>
      <c r="B8" s="2" t="s">
        <v>42</v>
      </c>
      <c r="C8" s="2" t="s">
        <v>43</v>
      </c>
      <c r="D8" s="2" t="s">
        <v>17</v>
      </c>
      <c r="E8" s="2" t="s">
        <v>27</v>
      </c>
      <c r="F8" s="1" t="n">
        <v>250000</v>
      </c>
      <c r="G8" s="1" t="n">
        <v>500000</v>
      </c>
      <c r="H8" s="3" t="n">
        <f aca="false">AVERAGE(F8:G8)</f>
        <v>375000</v>
      </c>
      <c r="I8" s="1" t="n">
        <v>2000</v>
      </c>
      <c r="J8" s="3" t="n">
        <f aca="false">LOG10(H8)</f>
        <v>5.57403126772772</v>
      </c>
      <c r="K8" s="3" t="n">
        <f aca="false">LOG10(I8)</f>
        <v>3.30102999566398</v>
      </c>
      <c r="L8" s="1" t="n">
        <f aca="false">(J8-K8)</f>
        <v>2.27300127206374</v>
      </c>
      <c r="M8" s="1" t="n">
        <f aca="false">POWER(10,J8-K8)</f>
        <v>187.5</v>
      </c>
      <c r="N8" s="1" t="s">
        <v>44</v>
      </c>
    </row>
    <row r="9" customFormat="false" ht="15.75" hidden="false" customHeight="false" outlineLevel="0" collapsed="false">
      <c r="A9" s="1" t="s">
        <v>45</v>
      </c>
      <c r="B9" s="2" t="s">
        <v>46</v>
      </c>
      <c r="C9" s="2" t="s">
        <v>47</v>
      </c>
      <c r="D9" s="2" t="s">
        <v>17</v>
      </c>
      <c r="E9" s="2" t="s">
        <v>18</v>
      </c>
      <c r="F9" s="1" t="n">
        <v>100000</v>
      </c>
      <c r="G9" s="1" t="n">
        <v>150000</v>
      </c>
      <c r="H9" s="3" t="n">
        <f aca="false">AVERAGE(F9:G9)</f>
        <v>125000</v>
      </c>
      <c r="I9" s="1" t="n">
        <f aca="false">(3000+2400)/2</f>
        <v>2700</v>
      </c>
      <c r="J9" s="3" t="n">
        <f aca="false">LOG10(H9)</f>
        <v>5.09691001300806</v>
      </c>
      <c r="K9" s="3" t="n">
        <f aca="false">LOG10(I9)</f>
        <v>3.43136376415899</v>
      </c>
      <c r="L9" s="1" t="n">
        <f aca="false">(J9-K9)</f>
        <v>1.66554624884907</v>
      </c>
      <c r="M9" s="1" t="n">
        <f aca="false">POWER(10,J9-K9)</f>
        <v>46.2962962962963</v>
      </c>
      <c r="N9" s="1" t="s">
        <v>48</v>
      </c>
    </row>
    <row r="10" customFormat="false" ht="15.75" hidden="false" customHeight="false" outlineLevel="0" collapsed="false">
      <c r="A10" s="1" t="s">
        <v>49</v>
      </c>
      <c r="B10" s="2" t="s">
        <v>50</v>
      </c>
      <c r="C10" s="2" t="s">
        <v>49</v>
      </c>
      <c r="D10" s="2" t="s">
        <v>17</v>
      </c>
      <c r="E10" s="2" t="s">
        <v>18</v>
      </c>
      <c r="F10" s="1" t="n">
        <v>39603</v>
      </c>
      <c r="G10" s="1" t="n">
        <v>50000</v>
      </c>
      <c r="H10" s="3" t="n">
        <f aca="false">AVERAGE(F10:G10)</f>
        <v>44801.5</v>
      </c>
      <c r="I10" s="1" t="n">
        <v>180</v>
      </c>
      <c r="J10" s="3" t="n">
        <f aca="false">LOG10(H10)</f>
        <v>4.6512925548646</v>
      </c>
      <c r="K10" s="3" t="n">
        <f aca="false">LOG10(I10)</f>
        <v>2.25527250510331</v>
      </c>
      <c r="L10" s="1" t="n">
        <f aca="false">(J10-K10)</f>
        <v>2.3960200497613</v>
      </c>
      <c r="M10" s="1" t="n">
        <f aca="false">POWER(10,J10-K10)</f>
        <v>248.897222222222</v>
      </c>
      <c r="N10" s="1" t="s">
        <v>51</v>
      </c>
    </row>
    <row r="11" customFormat="false" ht="15.75" hidden="false" customHeight="false" outlineLevel="0" collapsed="false">
      <c r="A11" s="1" t="s">
        <v>52</v>
      </c>
      <c r="B11" s="2" t="s">
        <v>53</v>
      </c>
      <c r="C11" s="2" t="s">
        <v>54</v>
      </c>
      <c r="D11" s="2" t="s">
        <v>17</v>
      </c>
      <c r="E11" s="2" t="s">
        <v>27</v>
      </c>
      <c r="F11" s="1" t="n">
        <v>35000</v>
      </c>
      <c r="G11" s="1" t="n">
        <v>40000</v>
      </c>
      <c r="H11" s="1" t="n">
        <f aca="false">AVERAGE(F11,G11)</f>
        <v>37500</v>
      </c>
      <c r="I11" s="1" t="n">
        <v>215</v>
      </c>
      <c r="J11" s="1" t="n">
        <f aca="false">LOG10(H11)</f>
        <v>4.57403126772772</v>
      </c>
      <c r="K11" s="1" t="n">
        <f aca="false">LOG10(I11)</f>
        <v>2.33243845991561</v>
      </c>
      <c r="L11" s="1" t="n">
        <f aca="false">(J11-K11)</f>
        <v>2.24159280781211</v>
      </c>
      <c r="M11" s="1" t="n">
        <f aca="false">POWER(10,J11-K11)</f>
        <v>174.418604651163</v>
      </c>
      <c r="N11" s="1" t="s">
        <v>55</v>
      </c>
    </row>
    <row r="12" customFormat="false" ht="15.75" hidden="false" customHeight="false" outlineLevel="0" collapsed="false">
      <c r="A12" s="4" t="s">
        <v>56</v>
      </c>
      <c r="B12" s="5" t="s">
        <v>57</v>
      </c>
      <c r="C12" s="5" t="s">
        <v>58</v>
      </c>
      <c r="D12" s="5" t="s">
        <v>59</v>
      </c>
      <c r="E12" s="5" t="s">
        <v>27</v>
      </c>
      <c r="F12" s="4" t="n">
        <v>150000</v>
      </c>
      <c r="G12" s="4" t="n">
        <v>300000</v>
      </c>
      <c r="H12" s="4" t="n">
        <f aca="false">AVERAGE(F12:G12)</f>
        <v>225000</v>
      </c>
      <c r="I12" s="4" t="n">
        <v>2000</v>
      </c>
      <c r="J12" s="3" t="n">
        <f aca="false">LOG10(H12)</f>
        <v>5.35218251811136</v>
      </c>
      <c r="K12" s="3" t="n">
        <f aca="false">LOG10(I12)</f>
        <v>3.30102999566398</v>
      </c>
      <c r="L12" s="1" t="n">
        <f aca="false">(J12-K12)</f>
        <v>2.05115252244738</v>
      </c>
      <c r="M12" s="1" t="n">
        <f aca="false">POWER(10,J12-K12)</f>
        <v>112.5</v>
      </c>
      <c r="N12" s="4" t="s">
        <v>60</v>
      </c>
      <c r="O12" s="6"/>
      <c r="P12" s="6"/>
      <c r="Q12" s="6"/>
      <c r="R12" s="6"/>
      <c r="S12" s="6"/>
      <c r="T12" s="6"/>
      <c r="U12" s="6"/>
      <c r="V12" s="6"/>
      <c r="W12" s="6"/>
      <c r="X12" s="6"/>
      <c r="Y12" s="6"/>
      <c r="Z12" s="6"/>
      <c r="AA12" s="6"/>
      <c r="AB12" s="6"/>
      <c r="AC12" s="6"/>
      <c r="AD12" s="6"/>
      <c r="AE12" s="6"/>
      <c r="AF12" s="6"/>
      <c r="AG12" s="6"/>
      <c r="AH12" s="6"/>
      <c r="AI12" s="6"/>
    </row>
    <row r="13" customFormat="false" ht="15.75" hidden="false" customHeight="false" outlineLevel="0" collapsed="false">
      <c r="A13" s="1" t="s">
        <v>61</v>
      </c>
      <c r="B13" s="2" t="s">
        <v>62</v>
      </c>
      <c r="C13" s="2" t="s">
        <v>63</v>
      </c>
      <c r="D13" s="2" t="s">
        <v>17</v>
      </c>
      <c r="E13" s="2" t="s">
        <v>18</v>
      </c>
      <c r="H13" s="1" t="n">
        <v>100000</v>
      </c>
      <c r="I13" s="1" t="n">
        <v>890</v>
      </c>
      <c r="J13" s="1" t="n">
        <f aca="false">LOG10(H13)</f>
        <v>5</v>
      </c>
      <c r="K13" s="3" t="n">
        <f aca="false">LOG10(I13)</f>
        <v>2.94939000664491</v>
      </c>
      <c r="L13" s="1" t="n">
        <f aca="false">(J13-K13)</f>
        <v>2.05060999335509</v>
      </c>
      <c r="M13" s="1" t="n">
        <f aca="false">POWER(10,J13-K13)</f>
        <v>112.359550561798</v>
      </c>
      <c r="N13" s="1" t="s">
        <v>64</v>
      </c>
    </row>
    <row r="14" customFormat="false" ht="15.75" hidden="false" customHeight="false" outlineLevel="0" collapsed="false">
      <c r="A14" s="1" t="s">
        <v>65</v>
      </c>
      <c r="B14" s="2" t="s">
        <v>66</v>
      </c>
      <c r="C14" s="2" t="s">
        <v>67</v>
      </c>
      <c r="D14" s="2" t="s">
        <v>17</v>
      </c>
      <c r="E14" s="2" t="s">
        <v>27</v>
      </c>
      <c r="H14" s="1" t="n">
        <v>100000</v>
      </c>
      <c r="I14" s="1" t="n">
        <v>520</v>
      </c>
      <c r="J14" s="1" t="n">
        <f aca="false">LOG10(H14)</f>
        <v>5</v>
      </c>
      <c r="K14" s="3" t="n">
        <f aca="false">LOG10(I14)</f>
        <v>2.7160033436348</v>
      </c>
      <c r="L14" s="1" t="n">
        <f aca="false">(J14-K14)</f>
        <v>2.2839966563652</v>
      </c>
      <c r="M14" s="1" t="n">
        <f aca="false">POWER(10,J14-K14)</f>
        <v>192.307692307692</v>
      </c>
      <c r="N14" s="1" t="s">
        <v>68</v>
      </c>
    </row>
    <row r="15" customFormat="false" ht="15.75" hidden="false" customHeight="false" outlineLevel="0" collapsed="false">
      <c r="A15" s="1" t="s">
        <v>69</v>
      </c>
      <c r="B15" s="2" t="s">
        <v>70</v>
      </c>
      <c r="C15" s="2" t="s">
        <v>71</v>
      </c>
      <c r="D15" s="2" t="s">
        <v>17</v>
      </c>
      <c r="E15" s="2" t="s">
        <v>18</v>
      </c>
      <c r="F15" s="1" t="n">
        <v>100000</v>
      </c>
      <c r="G15" s="1" t="n">
        <v>100000</v>
      </c>
      <c r="H15" s="1" t="n">
        <f aca="false">AVERAGE(F15,G15)</f>
        <v>100000</v>
      </c>
      <c r="I15" s="1" t="n">
        <f aca="false">(860+700)/2</f>
        <v>780</v>
      </c>
      <c r="J15" s="1" t="n">
        <f aca="false">LOG10(H15)</f>
        <v>5</v>
      </c>
      <c r="K15" s="3" t="n">
        <f aca="false">LOG10(I15)</f>
        <v>2.89209460269048</v>
      </c>
      <c r="L15" s="1" t="n">
        <f aca="false">(J15-K15)</f>
        <v>2.10790539730952</v>
      </c>
      <c r="M15" s="1" t="n">
        <f aca="false">POWER(10,J15-K15)</f>
        <v>128.205128205128</v>
      </c>
      <c r="N15" s="1" t="s">
        <v>72</v>
      </c>
    </row>
    <row r="16" customFormat="false" ht="15.75" hidden="false" customHeight="false" outlineLevel="0" collapsed="false">
      <c r="A16" s="1" t="s">
        <v>73</v>
      </c>
      <c r="B16" s="2" t="s">
        <v>74</v>
      </c>
      <c r="C16" s="2" t="s">
        <v>71</v>
      </c>
      <c r="D16" s="2" t="s">
        <v>17</v>
      </c>
      <c r="E16" s="2" t="s">
        <v>18</v>
      </c>
      <c r="F16" s="1" t="n">
        <v>300000</v>
      </c>
      <c r="G16" s="1" t="n">
        <v>500000</v>
      </c>
      <c r="H16" s="3" t="n">
        <f aca="false">AVERAGE(F16:G16)</f>
        <v>400000</v>
      </c>
      <c r="I16" s="1" t="n">
        <v>4700</v>
      </c>
      <c r="J16" s="3" t="n">
        <f aca="false">LOG10(H16)</f>
        <v>5.60205999132796</v>
      </c>
      <c r="K16" s="3" t="n">
        <f aca="false">LOG10(I16)</f>
        <v>3.67209785793572</v>
      </c>
      <c r="L16" s="1" t="n">
        <f aca="false">(J16-K16)</f>
        <v>1.92996213339225</v>
      </c>
      <c r="M16" s="1" t="n">
        <f aca="false">POWER(10,J16-K16)</f>
        <v>85.1063829787234</v>
      </c>
      <c r="N16" s="1" t="s">
        <v>75</v>
      </c>
    </row>
    <row r="17" customFormat="false" ht="15.75" hidden="false" customHeight="false" outlineLevel="0" collapsed="false">
      <c r="A17" s="1" t="s">
        <v>76</v>
      </c>
      <c r="B17" s="2" t="s">
        <v>77</v>
      </c>
      <c r="C17" s="2" t="s">
        <v>71</v>
      </c>
      <c r="D17" s="2" t="s">
        <v>17</v>
      </c>
      <c r="E17" s="2" t="s">
        <v>18</v>
      </c>
      <c r="F17" s="1" t="n">
        <v>300000</v>
      </c>
      <c r="G17" s="1" t="n">
        <v>1500000</v>
      </c>
      <c r="H17" s="1" t="n">
        <f aca="false">AVERAGE(F17,G17)</f>
        <v>900000</v>
      </c>
      <c r="I17" s="1" t="n">
        <v>6970</v>
      </c>
      <c r="J17" s="1" t="n">
        <f aca="false">LOG10(H17)</f>
        <v>5.95424250943933</v>
      </c>
      <c r="K17" s="3" t="n">
        <f aca="false">LOG10(I17)</f>
        <v>3.84323277809801</v>
      </c>
      <c r="L17" s="1" t="n">
        <f aca="false">(J17-K17)</f>
        <v>2.11100973134132</v>
      </c>
      <c r="M17" s="1" t="n">
        <f aca="false">POWER(10,J17-K17)</f>
        <v>129.124820659971</v>
      </c>
      <c r="N17" s="1" t="s">
        <v>78</v>
      </c>
    </row>
    <row r="18" customFormat="false" ht="15.75" hidden="false" customHeight="false" outlineLevel="0" collapsed="false">
      <c r="A18" s="1" t="s">
        <v>79</v>
      </c>
      <c r="B18" s="2" t="s">
        <v>80</v>
      </c>
      <c r="C18" s="2" t="s">
        <v>81</v>
      </c>
      <c r="D18" s="2" t="s">
        <v>17</v>
      </c>
      <c r="E18" s="2" t="s">
        <v>18</v>
      </c>
      <c r="F18" s="1" t="n">
        <v>250000</v>
      </c>
      <c r="G18" s="1" t="n">
        <v>400000</v>
      </c>
      <c r="H18" s="3" t="n">
        <f aca="false">AVERAGE(F18:G18)</f>
        <v>325000</v>
      </c>
      <c r="I18" s="1" t="n">
        <f aca="false">(4000+3100)/2</f>
        <v>3550</v>
      </c>
      <c r="J18" s="3" t="n">
        <f aca="false">LOG10(F18)</f>
        <v>5.397940009</v>
      </c>
      <c r="K18" s="3" t="n">
        <f aca="false">LOG10(I18)</f>
        <v>3.550228353</v>
      </c>
      <c r="L18" s="1" t="n">
        <f aca="false">(J18-K18)</f>
        <v>1.847711656</v>
      </c>
      <c r="M18" s="1" t="n">
        <f aca="false">POWER(10,J18-K18)</f>
        <v>70.4225352733817</v>
      </c>
      <c r="N18" s="1" t="s">
        <v>82</v>
      </c>
    </row>
    <row r="19" customFormat="false" ht="15.75" hidden="false" customHeight="false" outlineLevel="0" collapsed="false">
      <c r="A19" s="1" t="s">
        <v>83</v>
      </c>
      <c r="B19" s="2" t="s">
        <v>84</v>
      </c>
      <c r="C19" s="2" t="s">
        <v>85</v>
      </c>
      <c r="D19" s="2" t="s">
        <v>17</v>
      </c>
      <c r="E19" s="2" t="s">
        <v>18</v>
      </c>
      <c r="F19" s="1"/>
      <c r="G19" s="1"/>
      <c r="H19" s="1" t="n">
        <v>1000000</v>
      </c>
      <c r="I19" s="1" t="n">
        <v>5000</v>
      </c>
      <c r="J19" s="3" t="n">
        <f aca="false">LOG10(H19)</f>
        <v>6</v>
      </c>
      <c r="K19" s="3" t="n">
        <f aca="false">LOG10(I19)</f>
        <v>3.69897000433602</v>
      </c>
      <c r="L19" s="1" t="n">
        <f aca="false">(J19-K19)</f>
        <v>2.30102999566398</v>
      </c>
      <c r="M19" s="1" t="n">
        <f aca="false">POWER(10,J19-K19)</f>
        <v>200</v>
      </c>
      <c r="N19" s="1" t="s">
        <v>86</v>
      </c>
    </row>
    <row r="20" customFormat="false" ht="15.75" hidden="false" customHeight="false" outlineLevel="0" collapsed="false">
      <c r="A20" s="1" t="s">
        <v>87</v>
      </c>
      <c r="B20" s="2" t="s">
        <v>88</v>
      </c>
      <c r="C20" s="2" t="s">
        <v>89</v>
      </c>
      <c r="D20" s="2" t="s">
        <v>90</v>
      </c>
      <c r="E20" s="2" t="s">
        <v>27</v>
      </c>
      <c r="H20" s="1" t="n">
        <v>50000</v>
      </c>
      <c r="I20" s="1" t="n">
        <v>1071</v>
      </c>
      <c r="J20" s="3" t="n">
        <f aca="false">LOG10(H20)</f>
        <v>4.69897000433602</v>
      </c>
      <c r="K20" s="3" t="n">
        <f aca="false">LOG10(I20)</f>
        <v>3.02978947083186</v>
      </c>
      <c r="L20" s="1" t="n">
        <f aca="false">(J20-K20)</f>
        <v>1.66918053350416</v>
      </c>
      <c r="M20" s="1" t="n">
        <f aca="false">POWER(10,J20-K20)</f>
        <v>46.6853408029878</v>
      </c>
      <c r="N20" s="1" t="s">
        <v>91</v>
      </c>
    </row>
    <row r="21" customFormat="false" ht="15.75" hidden="false" customHeight="false" outlineLevel="0" collapsed="false">
      <c r="A21" s="1" t="s">
        <v>92</v>
      </c>
      <c r="B21" s="2" t="s">
        <v>93</v>
      </c>
      <c r="C21" s="2" t="s">
        <v>94</v>
      </c>
      <c r="D21" s="2" t="s">
        <v>17</v>
      </c>
      <c r="E21" s="2" t="s">
        <v>27</v>
      </c>
      <c r="G21" s="1" t="n">
        <v>8000</v>
      </c>
      <c r="H21" s="1" t="n">
        <v>8000</v>
      </c>
      <c r="I21" s="1" t="n">
        <v>120</v>
      </c>
      <c r="J21" s="3" t="n">
        <f aca="false">LOG10(H21)</f>
        <v>3.90308998699194</v>
      </c>
      <c r="K21" s="3" t="n">
        <f aca="false">LOG10(I21)</f>
        <v>2.07918124604762</v>
      </c>
      <c r="L21" s="1" t="n">
        <f aca="false">(J21-K21)</f>
        <v>1.82390874094432</v>
      </c>
      <c r="M21" s="1" t="n">
        <f aca="false">POWER(10,J21-K21)</f>
        <v>66.6666666666667</v>
      </c>
      <c r="N21" s="1" t="s">
        <v>95</v>
      </c>
    </row>
    <row r="22" customFormat="false" ht="15.75" hidden="false" customHeight="false" outlineLevel="0" collapsed="false">
      <c r="A22" s="1" t="s">
        <v>96</v>
      </c>
      <c r="B22" s="2" t="s">
        <v>97</v>
      </c>
      <c r="C22" s="2" t="s">
        <v>98</v>
      </c>
      <c r="D22" s="2" t="s">
        <v>17</v>
      </c>
      <c r="E22" s="2" t="s">
        <v>18</v>
      </c>
      <c r="F22" s="1" t="n">
        <v>170000</v>
      </c>
      <c r="G22" s="1" t="n">
        <v>800000</v>
      </c>
      <c r="H22" s="1" t="n">
        <f aca="false">AVERAGE(F22,G22)</f>
        <v>485000</v>
      </c>
      <c r="I22" s="1" t="n">
        <v>2040</v>
      </c>
      <c r="J22" s="3" t="n">
        <f aca="false">LOG10(H22)</f>
        <v>5.68574173860226</v>
      </c>
      <c r="K22" s="3" t="n">
        <f aca="false">LOG10(I22)</f>
        <v>3.3096301674259</v>
      </c>
      <c r="L22" s="1" t="n">
        <f aca="false">(J22-K22)</f>
        <v>2.37611157117637</v>
      </c>
      <c r="M22" s="1" t="n">
        <f aca="false">POWER(10,J22-K22)</f>
        <v>237.745098039216</v>
      </c>
      <c r="N22" s="7" t="s">
        <v>99</v>
      </c>
    </row>
    <row r="23" customFormat="false" ht="15.75" hidden="false" customHeight="false" outlineLevel="0" collapsed="false">
      <c r="A23" s="1" t="s">
        <v>100</v>
      </c>
      <c r="B23" s="2" t="s">
        <v>101</v>
      </c>
      <c r="C23" s="2" t="s">
        <v>102</v>
      </c>
      <c r="D23" s="2" t="s">
        <v>17</v>
      </c>
      <c r="E23" s="2" t="s">
        <v>27</v>
      </c>
      <c r="H23" s="1" t="n">
        <v>60000</v>
      </c>
      <c r="I23" s="1" t="n">
        <v>400</v>
      </c>
      <c r="J23" s="3" t="n">
        <f aca="false">LOG10(H23)</f>
        <v>4.77815125038364</v>
      </c>
      <c r="K23" s="3" t="n">
        <f aca="false">LOG10(I23)</f>
        <v>2.60205999132796</v>
      </c>
      <c r="L23" s="1" t="n">
        <f aca="false">(J23-K23)</f>
        <v>2.17609125905568</v>
      </c>
      <c r="M23" s="1" t="n">
        <f aca="false">POWER(10,J23-K23)</f>
        <v>150</v>
      </c>
      <c r="N23" s="7" t="s">
        <v>103</v>
      </c>
    </row>
    <row r="24" customFormat="false" ht="15.75" hidden="false" customHeight="false" outlineLevel="0" collapsed="false">
      <c r="A24" s="1" t="s">
        <v>104</v>
      </c>
      <c r="B24" s="2" t="s">
        <v>105</v>
      </c>
      <c r="C24" s="2" t="s">
        <v>104</v>
      </c>
      <c r="D24" s="2" t="s">
        <v>106</v>
      </c>
      <c r="E24" s="2" t="s">
        <v>18</v>
      </c>
      <c r="F24" s="1" t="n">
        <v>10000</v>
      </c>
      <c r="G24" s="1" t="n">
        <v>16000</v>
      </c>
      <c r="H24" s="3" t="n">
        <f aca="false">(F24+G24)/2</f>
        <v>13000</v>
      </c>
      <c r="I24" s="1" t="n">
        <v>445</v>
      </c>
      <c r="J24" s="1" t="n">
        <f aca="false">LOG10(H24)</f>
        <v>4.11394335230684</v>
      </c>
      <c r="K24" s="1" t="n">
        <f aca="false">LOG10(I24)</f>
        <v>2.64836001098093</v>
      </c>
      <c r="L24" s="1" t="n">
        <f aca="false">(J24-K24)</f>
        <v>1.46558334132591</v>
      </c>
      <c r="M24" s="1" t="n">
        <f aca="false">POWER(10,J24-K24)</f>
        <v>29.2134831460674</v>
      </c>
      <c r="N24" s="1" t="s">
        <v>107</v>
      </c>
    </row>
    <row r="25" customFormat="false" ht="15.75" hidden="false" customHeight="false" outlineLevel="0" collapsed="false">
      <c r="A25" s="1" t="s">
        <v>108</v>
      </c>
      <c r="B25" s="2" t="s">
        <v>109</v>
      </c>
      <c r="C25" s="2" t="s">
        <v>110</v>
      </c>
      <c r="D25" s="2" t="s">
        <v>17</v>
      </c>
      <c r="E25" s="2" t="s">
        <v>18</v>
      </c>
      <c r="F25" s="1" t="n">
        <v>120000</v>
      </c>
      <c r="G25" s="1" t="n">
        <v>300000</v>
      </c>
      <c r="H25" s="1" t="n">
        <f aca="false">AVERAGE(F25,G25)</f>
        <v>210000</v>
      </c>
      <c r="I25" s="1" t="n">
        <v>300</v>
      </c>
      <c r="J25" s="3" t="n">
        <f aca="false">LOG10(H25)</f>
        <v>5.32221929473392</v>
      </c>
      <c r="K25" s="3" t="n">
        <f aca="false">LOG10(I25)</f>
        <v>2.47712125471966</v>
      </c>
      <c r="L25" s="1" t="n">
        <f aca="false">(J25-K25)</f>
        <v>2.84509804001426</v>
      </c>
      <c r="M25" s="1" t="n">
        <f aca="false">POWER(10,J25-K25)</f>
        <v>700</v>
      </c>
      <c r="N25" s="1" t="s">
        <v>111</v>
      </c>
    </row>
    <row r="26" customFormat="false" ht="15.75" hidden="false" customHeight="false" outlineLevel="0" collapsed="false">
      <c r="A26" s="1" t="s">
        <v>112</v>
      </c>
      <c r="B26" s="2" t="s">
        <v>113</v>
      </c>
      <c r="C26" s="2" t="s">
        <v>114</v>
      </c>
      <c r="D26" s="2" t="s">
        <v>17</v>
      </c>
      <c r="E26" s="2" t="s">
        <v>18</v>
      </c>
      <c r="F26" s="1" t="n">
        <v>150000</v>
      </c>
      <c r="G26" s="1" t="n">
        <v>200000</v>
      </c>
      <c r="H26" s="1" t="n">
        <f aca="false">AVERAGE(F26,G26)</f>
        <v>175000</v>
      </c>
      <c r="I26" s="1" t="n">
        <v>450</v>
      </c>
      <c r="J26" s="3" t="n">
        <f aca="false">LOG10(H26)</f>
        <v>5.24303804868629</v>
      </c>
      <c r="K26" s="3" t="n">
        <f aca="false">LOG10(I26)</f>
        <v>2.65321251377534</v>
      </c>
      <c r="L26" s="1" t="n">
        <f aca="false">(J26-K26)</f>
        <v>2.58982553491095</v>
      </c>
      <c r="M26" s="1" t="n">
        <f aca="false">POWER(10,J26-K26)</f>
        <v>388.888888888889</v>
      </c>
      <c r="N26" s="1" t="s">
        <v>115</v>
      </c>
    </row>
    <row r="27" customFormat="false" ht="15.75" hidden="false" customHeight="false" outlineLevel="0" collapsed="false">
      <c r="A27" s="4" t="s">
        <v>116</v>
      </c>
      <c r="B27" s="5" t="s">
        <v>117</v>
      </c>
      <c r="C27" s="5" t="s">
        <v>116</v>
      </c>
      <c r="D27" s="5" t="s">
        <v>118</v>
      </c>
      <c r="E27" s="5" t="s">
        <v>27</v>
      </c>
      <c r="F27" s="6"/>
      <c r="G27" s="6"/>
      <c r="H27" s="4" t="n">
        <v>50000</v>
      </c>
      <c r="I27" s="4" t="n">
        <v>2200</v>
      </c>
      <c r="J27" s="1" t="n">
        <f aca="false">LOG10(H27)</f>
        <v>4.69897000433602</v>
      </c>
      <c r="K27" s="3" t="n">
        <f aca="false">LOG10(I27)</f>
        <v>3.34242268082221</v>
      </c>
      <c r="L27" s="1" t="n">
        <f aca="false">(J27-K27)</f>
        <v>1.35654732351381</v>
      </c>
      <c r="M27" s="1" t="n">
        <f aca="false">POWER(10,J27-K27)</f>
        <v>22.7272727272727</v>
      </c>
      <c r="N27" s="4" t="s">
        <v>119</v>
      </c>
      <c r="O27" s="6"/>
      <c r="P27" s="6"/>
      <c r="Q27" s="6"/>
      <c r="R27" s="6"/>
      <c r="S27" s="6"/>
      <c r="T27" s="6"/>
      <c r="U27" s="6"/>
      <c r="V27" s="6"/>
      <c r="W27" s="6"/>
      <c r="X27" s="6"/>
      <c r="Y27" s="6"/>
      <c r="Z27" s="6"/>
      <c r="AA27" s="6"/>
      <c r="AB27" s="6"/>
      <c r="AC27" s="6"/>
      <c r="AD27" s="6"/>
      <c r="AE27" s="6"/>
      <c r="AF27" s="6"/>
      <c r="AG27" s="6"/>
      <c r="AH27" s="6"/>
      <c r="AI27" s="6"/>
    </row>
    <row r="28" customFormat="false" ht="15.75" hidden="false" customHeight="false" outlineLevel="0" collapsed="false">
      <c r="A28" s="1" t="s">
        <v>120</v>
      </c>
      <c r="B28" s="2" t="s">
        <v>121</v>
      </c>
      <c r="C28" s="2" t="s">
        <v>122</v>
      </c>
      <c r="D28" s="2" t="s">
        <v>17</v>
      </c>
      <c r="E28" s="2" t="s">
        <v>27</v>
      </c>
      <c r="F28" s="1" t="n">
        <v>200000</v>
      </c>
      <c r="G28" s="1" t="n">
        <v>250000</v>
      </c>
      <c r="H28" s="1" t="n">
        <f aca="false">AVERAGE(F28:G28)</f>
        <v>225000</v>
      </c>
      <c r="I28" s="1" t="n">
        <v>300</v>
      </c>
      <c r="J28" s="1" t="n">
        <f aca="false">LOG10(H28)</f>
        <v>5.35218251811136</v>
      </c>
      <c r="K28" s="1" t="n">
        <f aca="false">LOG10(I28)</f>
        <v>2.47712125471966</v>
      </c>
      <c r="L28" s="1" t="n">
        <f aca="false">(J28-K28)</f>
        <v>2.8750612633917</v>
      </c>
      <c r="M28" s="1" t="n">
        <f aca="false">POWER(10,J28-K28)</f>
        <v>750</v>
      </c>
      <c r="N28" s="1" t="s">
        <v>123</v>
      </c>
    </row>
    <row r="29" customFormat="false" ht="15.75" hidden="false" customHeight="false" outlineLevel="0" collapsed="false">
      <c r="A29" s="1" t="s">
        <v>124</v>
      </c>
      <c r="B29" s="2" t="s">
        <v>125</v>
      </c>
      <c r="C29" s="2" t="s">
        <v>126</v>
      </c>
      <c r="D29" s="2" t="s">
        <v>17</v>
      </c>
      <c r="E29" s="2" t="s">
        <v>27</v>
      </c>
      <c r="F29" s="1" t="n">
        <v>50000</v>
      </c>
      <c r="G29" s="1" t="n">
        <v>100000</v>
      </c>
      <c r="H29" s="1" t="n">
        <f aca="false">AVERAGE(F29:G29)</f>
        <v>75000</v>
      </c>
      <c r="I29" s="1" t="n">
        <v>321</v>
      </c>
      <c r="J29" s="1" t="n">
        <f aca="false">LOG10(H29)</f>
        <v>4.8750612633917</v>
      </c>
      <c r="K29" s="1" t="n">
        <f aca="false">LOG10(I29)</f>
        <v>2.50650503240487</v>
      </c>
      <c r="L29" s="1" t="n">
        <f aca="false">(J29-K29)</f>
        <v>2.36855623098683</v>
      </c>
      <c r="M29" s="1" t="n">
        <f aca="false">POWER(10,J29-K29)</f>
        <v>233.644859813084</v>
      </c>
      <c r="N29" s="1" t="s">
        <v>127</v>
      </c>
    </row>
    <row r="30" customFormat="false" ht="15.75" hidden="false" customHeight="false" outlineLevel="0" collapsed="false">
      <c r="A30" s="1" t="s">
        <v>128</v>
      </c>
      <c r="B30" s="2" t="s">
        <v>129</v>
      </c>
      <c r="C30" s="2" t="s">
        <v>130</v>
      </c>
      <c r="D30" s="2" t="s">
        <v>131</v>
      </c>
      <c r="E30" s="2" t="s">
        <v>27</v>
      </c>
      <c r="F30" s="1" t="n">
        <v>25000</v>
      </c>
      <c r="G30" s="1" t="n">
        <v>30000</v>
      </c>
      <c r="H30" s="1" t="n">
        <f aca="false">AVERAGE(F30:G30)</f>
        <v>27500</v>
      </c>
      <c r="I30" s="1" t="n">
        <v>600</v>
      </c>
      <c r="J30" s="1" t="n">
        <f aca="false">LOG10(H30)</f>
        <v>4.43933269383026</v>
      </c>
      <c r="K30" s="1" t="n">
        <f aca="false">LOG10(I30)</f>
        <v>2.77815125038364</v>
      </c>
      <c r="L30" s="1" t="n">
        <f aca="false">(J30-K30)</f>
        <v>1.66118144344662</v>
      </c>
      <c r="M30" s="1" t="n">
        <f aca="false">POWER(10,J30-K30)</f>
        <v>45.8333333333334</v>
      </c>
      <c r="N30" s="1" t="s">
        <v>132</v>
      </c>
    </row>
    <row r="31" customFormat="false" ht="15.75" hidden="false" customHeight="false" outlineLevel="0" collapsed="false">
      <c r="A31" s="1" t="s">
        <v>133</v>
      </c>
      <c r="B31" s="2" t="s">
        <v>134</v>
      </c>
      <c r="C31" s="2" t="s">
        <v>135</v>
      </c>
      <c r="D31" s="2" t="s">
        <v>17</v>
      </c>
      <c r="E31" s="2" t="s">
        <v>18</v>
      </c>
      <c r="F31" s="1" t="n">
        <v>1000000</v>
      </c>
      <c r="G31" s="1" t="n">
        <v>1000000</v>
      </c>
      <c r="H31" s="1" t="n">
        <f aca="false">AVERAGE(F31,G31)</f>
        <v>1000000</v>
      </c>
      <c r="I31" s="1" t="n">
        <v>8075</v>
      </c>
      <c r="J31" s="1" t="n">
        <f aca="false">LOG10(H31)</f>
        <v>6</v>
      </c>
      <c r="K31" s="1" t="n">
        <f aca="false">LOG10(I31)</f>
        <v>3.90714253100314</v>
      </c>
      <c r="L31" s="1" t="n">
        <f aca="false">(J31-K31)</f>
        <v>2.09285746899686</v>
      </c>
      <c r="M31" s="1" t="n">
        <f aca="false">POWER(10,J31-K31)</f>
        <v>123.839009287926</v>
      </c>
      <c r="N31" s="1" t="s">
        <v>136</v>
      </c>
    </row>
    <row r="32" customFormat="false" ht="15.75" hidden="false" customHeight="false" outlineLevel="0" collapsed="false">
      <c r="A32" s="1" t="s">
        <v>137</v>
      </c>
      <c r="B32" s="2" t="s">
        <v>138</v>
      </c>
      <c r="C32" s="2" t="s">
        <v>137</v>
      </c>
      <c r="D32" s="2" t="s">
        <v>118</v>
      </c>
      <c r="E32" s="2" t="s">
        <v>27</v>
      </c>
      <c r="F32" s="1" t="n">
        <v>30000</v>
      </c>
      <c r="G32" s="1" t="n">
        <v>50000</v>
      </c>
      <c r="H32" s="1" t="n">
        <v>40000</v>
      </c>
      <c r="I32" s="1" t="n">
        <v>500</v>
      </c>
      <c r="J32" s="3" t="n">
        <f aca="false">LOG10(H32)</f>
        <v>4.60205999132796</v>
      </c>
      <c r="K32" s="3" t="n">
        <f aca="false">LOG10(I32)</f>
        <v>2.69897000433602</v>
      </c>
      <c r="L32" s="1" t="n">
        <f aca="false">(J32-K32)</f>
        <v>1.90308998699194</v>
      </c>
      <c r="M32" s="1" t="n">
        <f aca="false">POWER(10,J32-K32)</f>
        <v>80</v>
      </c>
      <c r="N32" s="1" t="s">
        <v>139</v>
      </c>
      <c r="O32" s="3"/>
      <c r="P32" s="3"/>
      <c r="Q32" s="3"/>
      <c r="R32" s="3"/>
      <c r="S32" s="3"/>
      <c r="T32" s="3"/>
      <c r="U32" s="3"/>
      <c r="V32" s="3"/>
      <c r="W32" s="3"/>
      <c r="X32" s="3"/>
      <c r="Y32" s="3"/>
      <c r="Z32" s="3"/>
      <c r="AA32" s="3"/>
      <c r="AB32" s="3"/>
      <c r="AC32" s="3"/>
      <c r="AD32" s="3"/>
      <c r="AE32" s="3"/>
      <c r="AF32" s="3"/>
      <c r="AG32" s="3"/>
      <c r="AH32" s="3"/>
      <c r="AI32" s="3"/>
    </row>
    <row r="33" customFormat="false" ht="15.75" hidden="false" customHeight="false" outlineLevel="0" collapsed="false">
      <c r="A33" s="1" t="s">
        <v>140</v>
      </c>
      <c r="B33" s="2" t="s">
        <v>141</v>
      </c>
      <c r="C33" s="2" t="s">
        <v>140</v>
      </c>
      <c r="D33" s="2" t="s">
        <v>17</v>
      </c>
      <c r="E33" s="2" t="s">
        <v>27</v>
      </c>
      <c r="F33" s="1" t="n">
        <v>1000</v>
      </c>
      <c r="G33" s="1" t="n">
        <v>20000</v>
      </c>
      <c r="H33" s="3" t="n">
        <f aca="false">AVERAGE(F33:G33)</f>
        <v>10500</v>
      </c>
      <c r="I33" s="1" t="n">
        <v>600</v>
      </c>
      <c r="J33" s="3" t="n">
        <f aca="false">LOG10(H33)</f>
        <v>4.02118929906994</v>
      </c>
      <c r="K33" s="3" t="n">
        <f aca="false">LOG10(I33)</f>
        <v>2.77815125038364</v>
      </c>
      <c r="L33" s="1" t="n">
        <f aca="false">(J33-K33)</f>
        <v>1.24303804868629</v>
      </c>
      <c r="M33" s="1" t="n">
        <f aca="false">POWER(10,J33-K33)</f>
        <v>17.5</v>
      </c>
      <c r="N33" s="1" t="s">
        <v>142</v>
      </c>
    </row>
    <row r="34" customFormat="false" ht="15.75" hidden="false" customHeight="false" outlineLevel="0" collapsed="false">
      <c r="A34" s="1" t="s">
        <v>143</v>
      </c>
      <c r="B34" s="1" t="s">
        <v>144</v>
      </c>
      <c r="C34" s="1" t="s">
        <v>145</v>
      </c>
      <c r="D34" s="1" t="s">
        <v>17</v>
      </c>
      <c r="E34" s="1" t="s">
        <v>18</v>
      </c>
      <c r="F34" s="8"/>
      <c r="G34" s="8"/>
      <c r="H34" s="8" t="n">
        <v>54000</v>
      </c>
      <c r="I34" s="1" t="n">
        <v>400</v>
      </c>
      <c r="J34" s="3" t="n">
        <f aca="false">LOG10(H34)</f>
        <v>4.73239375982297</v>
      </c>
      <c r="K34" s="3" t="n">
        <f aca="false">LOG10(I34)</f>
        <v>2.60205999132796</v>
      </c>
      <c r="L34" s="1" t="n">
        <f aca="false">(J34-K34)</f>
        <v>2.13033376849501</v>
      </c>
      <c r="M34" s="1" t="n">
        <f aca="false">POWER(10,J34-K34)</f>
        <v>135</v>
      </c>
      <c r="N34" s="1" t="s">
        <v>146</v>
      </c>
    </row>
    <row r="35" customFormat="false" ht="15.75" hidden="false" customHeight="false" outlineLevel="0" collapsed="false">
      <c r="A35" s="1" t="s">
        <v>147</v>
      </c>
      <c r="B35" s="2" t="s">
        <v>148</v>
      </c>
      <c r="C35" s="2" t="s">
        <v>43</v>
      </c>
      <c r="D35" s="2" t="s">
        <v>17</v>
      </c>
      <c r="E35" s="2" t="s">
        <v>18</v>
      </c>
      <c r="F35" s="1" t="n">
        <v>25000</v>
      </c>
      <c r="G35" s="1" t="n">
        <v>150000</v>
      </c>
      <c r="H35" s="3" t="n">
        <f aca="false">AVERAGE(F35:G35)</f>
        <v>87500</v>
      </c>
      <c r="I35" s="1" t="n">
        <v>600</v>
      </c>
      <c r="J35" s="1" t="n">
        <f aca="false">LOG10(H35)</f>
        <v>4.94200805302231</v>
      </c>
      <c r="K35" s="1" t="n">
        <f aca="false">LOG10(I35)</f>
        <v>2.77815125038364</v>
      </c>
      <c r="L35" s="1" t="n">
        <f aca="false">(J35-K35)</f>
        <v>2.16385680263867</v>
      </c>
      <c r="M35" s="1" t="n">
        <f aca="false">POWER(10,J35-K35)</f>
        <v>145.833333333333</v>
      </c>
      <c r="N35" s="1" t="s">
        <v>149</v>
      </c>
    </row>
    <row r="36" customFormat="false" ht="15.75" hidden="false" customHeight="false" outlineLevel="0" collapsed="false">
      <c r="A36" s="1" t="s">
        <v>150</v>
      </c>
      <c r="B36" s="2" t="s">
        <v>151</v>
      </c>
      <c r="C36" s="2" t="s">
        <v>43</v>
      </c>
      <c r="D36" s="2" t="s">
        <v>17</v>
      </c>
      <c r="E36" s="2" t="s">
        <v>18</v>
      </c>
      <c r="F36" s="1" t="n">
        <v>150000</v>
      </c>
      <c r="G36" s="1" t="n">
        <v>600000</v>
      </c>
      <c r="H36" s="3" t="n">
        <f aca="false">AVERAGE(F36:G36)</f>
        <v>375000</v>
      </c>
      <c r="I36" s="1" t="n">
        <v>1270</v>
      </c>
      <c r="J36" s="1" t="n">
        <f aca="false">LOG10(H36)</f>
        <v>5.57403126772772</v>
      </c>
      <c r="K36" s="1" t="n">
        <f aca="false">LOG10(I36)</f>
        <v>3.10380372095596</v>
      </c>
      <c r="L36" s="1" t="n">
        <f aca="false">(J36-K36)</f>
        <v>2.47022754677176</v>
      </c>
      <c r="M36" s="1" t="n">
        <f aca="false">POWER(10,J36-K36)</f>
        <v>295.275590551181</v>
      </c>
      <c r="N36" s="1" t="s">
        <v>152</v>
      </c>
    </row>
    <row r="37" customFormat="false" ht="15.75" hidden="false" customHeight="false" outlineLevel="0" collapsed="false">
      <c r="A37" s="1" t="s">
        <v>153</v>
      </c>
      <c r="B37" s="2" t="s">
        <v>154</v>
      </c>
      <c r="C37" s="2" t="s">
        <v>155</v>
      </c>
      <c r="D37" s="2" t="s">
        <v>17</v>
      </c>
      <c r="E37" s="2" t="s">
        <v>18</v>
      </c>
      <c r="F37" s="1" t="n">
        <v>400000</v>
      </c>
      <c r="G37" s="1" t="n">
        <v>850000</v>
      </c>
      <c r="H37" s="1" t="n">
        <f aca="false">AVERAGE(F37,G37)</f>
        <v>625000</v>
      </c>
      <c r="I37" s="1" t="n">
        <v>2300</v>
      </c>
      <c r="J37" s="3" t="n">
        <f aca="false">LOG10(H37)</f>
        <v>5.79588001734408</v>
      </c>
      <c r="K37" s="3" t="n">
        <f aca="false">LOG10(I37)</f>
        <v>3.36172783601759</v>
      </c>
      <c r="L37" s="1" t="n">
        <f aca="false">(J37-K37)</f>
        <v>2.43415218132648</v>
      </c>
      <c r="M37" s="1" t="n">
        <f aca="false">POWER(10,J37-K37)</f>
        <v>271.739130434782</v>
      </c>
      <c r="N37" s="1" t="s">
        <v>156</v>
      </c>
    </row>
    <row r="38" customFormat="false" ht="15.75" hidden="false" customHeight="false" outlineLevel="0" collapsed="false">
      <c r="A38" s="1" t="s">
        <v>157</v>
      </c>
      <c r="B38" s="2" t="s">
        <v>158</v>
      </c>
      <c r="C38" s="2" t="s">
        <v>157</v>
      </c>
      <c r="D38" s="2" t="s">
        <v>118</v>
      </c>
      <c r="E38" s="2" t="s">
        <v>27</v>
      </c>
      <c r="F38" s="1" t="n">
        <v>5000</v>
      </c>
      <c r="G38" s="1" t="n">
        <v>10000</v>
      </c>
      <c r="H38" s="3" t="n">
        <f aca="false">AVERAGE(F38,G38)</f>
        <v>7500</v>
      </c>
      <c r="I38" s="1" t="n">
        <v>100</v>
      </c>
      <c r="J38" s="3" t="n">
        <f aca="false">LOG10(H38)</f>
        <v>3.8750612633917</v>
      </c>
      <c r="K38" s="3" t="n">
        <f aca="false">LOG10(I38)</f>
        <v>2</v>
      </c>
      <c r="L38" s="1" t="n">
        <f aca="false">(J38-K38)</f>
        <v>1.8750612633917</v>
      </c>
      <c r="M38" s="1" t="n">
        <f aca="false">POWER(10,J38-K38)</f>
        <v>75</v>
      </c>
      <c r="N38" s="1" t="s">
        <v>159</v>
      </c>
    </row>
    <row r="39" customFormat="false" ht="15.75" hidden="false" customHeight="false" outlineLevel="0" collapsed="false">
      <c r="A39" s="1" t="s">
        <v>160</v>
      </c>
      <c r="B39" s="2" t="s">
        <v>77</v>
      </c>
      <c r="C39" s="2" t="s">
        <v>161</v>
      </c>
      <c r="D39" s="2" t="s">
        <v>17</v>
      </c>
      <c r="E39" s="2" t="s">
        <v>18</v>
      </c>
      <c r="F39" s="1" t="n">
        <v>90000</v>
      </c>
      <c r="G39" s="1" t="n">
        <v>100000</v>
      </c>
      <c r="H39" s="1" t="n">
        <f aca="false">AVERAGE(F39,G39)</f>
        <v>95000</v>
      </c>
      <c r="I39" s="1" t="n">
        <v>246</v>
      </c>
      <c r="J39" s="3" t="n">
        <f aca="false">LOG10(H39)</f>
        <v>4.97772360528885</v>
      </c>
      <c r="K39" s="3" t="n">
        <f aca="false">LOG10(I39)</f>
        <v>2.39093510710338</v>
      </c>
      <c r="L39" s="1" t="n">
        <f aca="false">(J39-K39)</f>
        <v>2.58678849818547</v>
      </c>
      <c r="M39" s="1" t="n">
        <f aca="false">POWER(10,J39-K39)</f>
        <v>386.178861788618</v>
      </c>
      <c r="N39" s="7" t="s">
        <v>162</v>
      </c>
    </row>
    <row r="40" customFormat="false" ht="15.75" hidden="false" customHeight="false" outlineLevel="0" collapsed="false">
      <c r="A40" s="1" t="s">
        <v>163</v>
      </c>
      <c r="B40" s="2" t="s">
        <v>164</v>
      </c>
      <c r="C40" s="2" t="s">
        <v>165</v>
      </c>
      <c r="D40" s="2" t="s">
        <v>17</v>
      </c>
      <c r="E40" s="2" t="s">
        <v>27</v>
      </c>
      <c r="F40" s="1" t="n">
        <v>70000</v>
      </c>
      <c r="G40" s="1" t="n">
        <v>90000</v>
      </c>
      <c r="H40" s="3" t="n">
        <f aca="false">AVERAGE(F40:G40)</f>
        <v>80000</v>
      </c>
      <c r="I40" s="1" t="n">
        <v>725</v>
      </c>
      <c r="J40" s="3" t="n">
        <f aca="false">LOG10(H40)</f>
        <v>4.90308998699194</v>
      </c>
      <c r="K40" s="3" t="n">
        <f aca="false">LOG10(I40)</f>
        <v>2.86033800657099</v>
      </c>
      <c r="L40" s="1" t="n">
        <f aca="false">(J40-K40)</f>
        <v>2.04275198042095</v>
      </c>
      <c r="M40" s="1" t="n">
        <f aca="false">POWER(10,J40-K40)</f>
        <v>110.344827586207</v>
      </c>
      <c r="N40" s="1" t="s">
        <v>166</v>
      </c>
    </row>
    <row r="41" customFormat="false" ht="15.75" hidden="false" customHeight="false" outlineLevel="0" collapsed="false">
      <c r="A41" s="1" t="s">
        <v>167</v>
      </c>
      <c r="B41" s="2" t="s">
        <v>168</v>
      </c>
      <c r="C41" s="2" t="s">
        <v>169</v>
      </c>
      <c r="D41" s="2" t="s">
        <v>17</v>
      </c>
      <c r="E41" s="2" t="s">
        <v>18</v>
      </c>
      <c r="F41" s="1" t="n">
        <v>400000</v>
      </c>
      <c r="G41" s="1" t="n">
        <v>600000</v>
      </c>
      <c r="H41" s="1" t="n">
        <f aca="false">AVERAGE(F41,G41)</f>
        <v>500000</v>
      </c>
      <c r="I41" s="1" t="n">
        <v>3000</v>
      </c>
      <c r="J41" s="3" t="n">
        <f aca="false">LOG10(H41)</f>
        <v>5.69897000433602</v>
      </c>
      <c r="K41" s="3" t="n">
        <f aca="false">LOG10(I41)</f>
        <v>3.47712125471966</v>
      </c>
      <c r="L41" s="1" t="n">
        <f aca="false">(J41-K41)</f>
        <v>2.22184874961636</v>
      </c>
      <c r="M41" s="1" t="n">
        <f aca="false">POWER(10,J41-K41)</f>
        <v>166.666666666667</v>
      </c>
      <c r="N41" s="1" t="s">
        <v>170</v>
      </c>
    </row>
    <row r="42" customFormat="false" ht="15.75" hidden="false" customHeight="false" outlineLevel="0" collapsed="false">
      <c r="A42" s="1" t="s">
        <v>171</v>
      </c>
      <c r="B42" s="2" t="s">
        <v>172</v>
      </c>
      <c r="C42" s="2" t="s">
        <v>173</v>
      </c>
      <c r="D42" s="2" t="s">
        <v>174</v>
      </c>
      <c r="E42" s="2" t="s">
        <v>27</v>
      </c>
      <c r="F42" s="1"/>
      <c r="G42" s="1"/>
      <c r="H42" s="1" t="n">
        <v>20000</v>
      </c>
      <c r="I42" s="1" t="n">
        <v>400</v>
      </c>
      <c r="J42" s="3" t="n">
        <f aca="false">LOG10(H42)</f>
        <v>4.30102999566398</v>
      </c>
      <c r="K42" s="3" t="n">
        <f aca="false">LOG10(I42)</f>
        <v>2.60205999132796</v>
      </c>
      <c r="L42" s="1" t="n">
        <f aca="false">(J42-K42)</f>
        <v>1.69897000433602</v>
      </c>
      <c r="M42" s="1" t="n">
        <f aca="false">POWER(10,J42-K42)</f>
        <v>50</v>
      </c>
      <c r="N42" s="1" t="s">
        <v>175</v>
      </c>
    </row>
    <row r="43" customFormat="false" ht="15.75" hidden="false" customHeight="false" outlineLevel="0" collapsed="false">
      <c r="A43" s="1" t="s">
        <v>176</v>
      </c>
      <c r="B43" s="2" t="s">
        <v>177</v>
      </c>
      <c r="C43" s="2" t="s">
        <v>178</v>
      </c>
      <c r="D43" s="2" t="s">
        <v>131</v>
      </c>
      <c r="E43" s="2" t="s">
        <v>18</v>
      </c>
      <c r="F43" s="1" t="n">
        <v>100000</v>
      </c>
      <c r="G43" s="1" t="n">
        <v>150000</v>
      </c>
      <c r="H43" s="1" t="n">
        <v>125000</v>
      </c>
      <c r="I43" s="1" t="n">
        <v>1000</v>
      </c>
      <c r="J43" s="1" t="n">
        <f aca="false">LOG10(H43)</f>
        <v>5.09691001300806</v>
      </c>
      <c r="K43" s="1" t="n">
        <f aca="false">LOG10(I43)</f>
        <v>3</v>
      </c>
      <c r="L43" s="1" t="n">
        <f aca="false">(J43-K43)</f>
        <v>2.09691001300806</v>
      </c>
      <c r="M43" s="1" t="n">
        <f aca="false">POWER(10,J43-K43)</f>
        <v>125</v>
      </c>
      <c r="N43" s="1" t="s">
        <v>179</v>
      </c>
    </row>
    <row r="44" customFormat="false" ht="15.75" hidden="false" customHeight="false" outlineLevel="0" collapsed="false">
      <c r="A44" s="1" t="s">
        <v>180</v>
      </c>
      <c r="B44" s="2" t="s">
        <v>181</v>
      </c>
      <c r="C44" s="2" t="s">
        <v>182</v>
      </c>
      <c r="D44" s="2" t="s">
        <v>17</v>
      </c>
      <c r="E44" s="2" t="s">
        <v>18</v>
      </c>
      <c r="F44" s="1" t="n">
        <v>400000</v>
      </c>
      <c r="G44" s="1" t="n">
        <v>500000</v>
      </c>
      <c r="H44" s="3" t="n">
        <f aca="false">AVERAGE(F44:G44)</f>
        <v>450000</v>
      </c>
      <c r="I44" s="1" t="n">
        <v>2590</v>
      </c>
      <c r="J44" s="3" t="n">
        <f aca="false">LOG10(H44)</f>
        <v>5.65321251377534</v>
      </c>
      <c r="K44" s="3" t="n">
        <f aca="false">LOG10(I44)</f>
        <v>3.41329976408125</v>
      </c>
      <c r="L44" s="1" t="n">
        <f aca="false">(J44-K44)</f>
        <v>2.23991274969409</v>
      </c>
      <c r="M44" s="1" t="n">
        <f aca="false">POWER(10,J44-K44)</f>
        <v>173.745173745174</v>
      </c>
      <c r="N44" s="1" t="s">
        <v>183</v>
      </c>
    </row>
    <row r="45" customFormat="false" ht="15.75" hidden="false" customHeight="false" outlineLevel="0" collapsed="false">
      <c r="A45" s="1" t="s">
        <v>184</v>
      </c>
      <c r="B45" s="2" t="s">
        <v>185</v>
      </c>
      <c r="C45" s="2" t="s">
        <v>186</v>
      </c>
      <c r="D45" s="2" t="s">
        <v>187</v>
      </c>
      <c r="E45" s="2" t="s">
        <v>18</v>
      </c>
      <c r="H45" s="1" t="n">
        <v>1000000</v>
      </c>
      <c r="I45" s="1" t="n">
        <v>3100</v>
      </c>
      <c r="J45" s="3" t="n">
        <f aca="false">LOG10(H45)</f>
        <v>6</v>
      </c>
      <c r="K45" s="3" t="n">
        <f aca="false">LOG10(I45)</f>
        <v>3.49136169383427</v>
      </c>
      <c r="L45" s="1" t="n">
        <f aca="false">(J45-K45)</f>
        <v>2.50863830616573</v>
      </c>
      <c r="M45" s="1" t="n">
        <f aca="false">POWER(10,J45-K45)</f>
        <v>322.58064516129</v>
      </c>
      <c r="N45" s="7" t="s">
        <v>188</v>
      </c>
    </row>
    <row r="46" customFormat="false" ht="15.75" hidden="false" customHeight="false" outlineLevel="0" collapsed="false">
      <c r="A46" s="1" t="s">
        <v>189</v>
      </c>
      <c r="B46" s="2" t="s">
        <v>190</v>
      </c>
      <c r="C46" s="2" t="s">
        <v>189</v>
      </c>
      <c r="D46" s="2" t="s">
        <v>17</v>
      </c>
      <c r="E46" s="2" t="s">
        <v>18</v>
      </c>
      <c r="F46" s="1" t="n">
        <v>18000</v>
      </c>
      <c r="G46" s="1" t="n">
        <v>30000</v>
      </c>
      <c r="H46" s="3" t="n">
        <f aca="false">AVERAGE(F46,G46)</f>
        <v>24000</v>
      </c>
      <c r="I46" s="1" t="n">
        <v>300</v>
      </c>
      <c r="J46" s="1" t="n">
        <f aca="false">LOG10(H46)</f>
        <v>4.38021124171161</v>
      </c>
      <c r="K46" s="1" t="n">
        <f aca="false">LOG10(I46)</f>
        <v>2.47712125471966</v>
      </c>
      <c r="L46" s="1" t="n">
        <f aca="false">(J46-K46)</f>
        <v>1.90308998699194</v>
      </c>
      <c r="M46" s="1" t="n">
        <f aca="false">POWER(10,J46-K46)</f>
        <v>80</v>
      </c>
      <c r="N46" s="1" t="s">
        <v>191</v>
      </c>
    </row>
    <row r="47" customFormat="false" ht="15.75" hidden="false" customHeight="false" outlineLevel="0" collapsed="false">
      <c r="A47" s="1" t="s">
        <v>192</v>
      </c>
      <c r="B47" s="2" t="s">
        <v>193</v>
      </c>
      <c r="C47" s="2" t="s">
        <v>194</v>
      </c>
      <c r="D47" s="2" t="s">
        <v>17</v>
      </c>
      <c r="E47" s="2" t="s">
        <v>27</v>
      </c>
      <c r="F47" s="1" t="n">
        <v>50000</v>
      </c>
      <c r="G47" s="1" t="n">
        <v>100000</v>
      </c>
      <c r="H47" s="1" t="n">
        <f aca="false">AVERAGE(F47:G47)</f>
        <v>75000</v>
      </c>
      <c r="I47" s="1" t="n">
        <v>650</v>
      </c>
      <c r="J47" s="1" t="n">
        <f aca="false">LOG10(H47)</f>
        <v>4.8750612633917</v>
      </c>
      <c r="K47" s="3" t="n">
        <f aca="false">LOG10(I47)</f>
        <v>2.81291335664286</v>
      </c>
      <c r="L47" s="1" t="n">
        <f aca="false">(J47-K47)</f>
        <v>2.06214790674884</v>
      </c>
      <c r="M47" s="1" t="n">
        <f aca="false">POWER(10,J47-K47)</f>
        <v>115.384615384615</v>
      </c>
      <c r="N47" s="1" t="s">
        <v>195</v>
      </c>
    </row>
    <row r="48" customFormat="false" ht="15.75" hidden="false" customHeight="false" outlineLevel="0" collapsed="false">
      <c r="A48" s="1" t="s">
        <v>196</v>
      </c>
      <c r="B48" s="2" t="s">
        <v>197</v>
      </c>
      <c r="C48" s="2" t="s">
        <v>198</v>
      </c>
      <c r="D48" s="2" t="s">
        <v>174</v>
      </c>
      <c r="E48" s="2" t="s">
        <v>27</v>
      </c>
      <c r="F48" s="1" t="n">
        <v>14400</v>
      </c>
      <c r="G48" s="1" t="n">
        <v>28800</v>
      </c>
      <c r="H48" s="3" t="n">
        <f aca="false">AVERAGE(F48:G48)</f>
        <v>21600</v>
      </c>
      <c r="I48" s="1" t="n">
        <v>600</v>
      </c>
      <c r="J48" s="3" t="n">
        <f aca="false">LOG10(H48)</f>
        <v>4.33445375115093</v>
      </c>
      <c r="K48" s="3" t="n">
        <f aca="false">LOG10(I48)</f>
        <v>2.77815125038364</v>
      </c>
      <c r="L48" s="1" t="n">
        <f aca="false">(J48-K48)</f>
        <v>1.55630250076729</v>
      </c>
      <c r="M48" s="1" t="n">
        <f aca="false">POWER(10,J48-K48)</f>
        <v>36</v>
      </c>
      <c r="N48" s="1" t="s">
        <v>199</v>
      </c>
    </row>
    <row r="49" customFormat="false" ht="15.75" hidden="false" customHeight="false" outlineLevel="0" collapsed="false">
      <c r="A49" s="1" t="s">
        <v>200</v>
      </c>
      <c r="B49" s="2" t="s">
        <v>201</v>
      </c>
      <c r="C49" s="2" t="s">
        <v>202</v>
      </c>
      <c r="D49" s="2" t="s">
        <v>17</v>
      </c>
      <c r="E49" s="2" t="s">
        <v>18</v>
      </c>
      <c r="F49" s="1" t="n">
        <v>10000</v>
      </c>
      <c r="G49" s="1" t="n">
        <v>18000</v>
      </c>
      <c r="H49" s="1" t="n">
        <f aca="false">AVERAGE(F49:G49)</f>
        <v>14000</v>
      </c>
      <c r="I49" s="1" t="n">
        <v>100</v>
      </c>
      <c r="J49" s="3" t="n">
        <f aca="false">LOG10(H49)</f>
        <v>4.14612803567824</v>
      </c>
      <c r="K49" s="3" t="n">
        <f aca="false">LOG10(I49)</f>
        <v>2</v>
      </c>
      <c r="L49" s="1" t="n">
        <f aca="false">(J49-K49)</f>
        <v>2.14612803567824</v>
      </c>
      <c r="M49" s="1" t="n">
        <f aca="false">POWER(10,J49-K49)</f>
        <v>140</v>
      </c>
      <c r="N49" s="1" t="s">
        <v>203</v>
      </c>
    </row>
    <row r="50" customFormat="false" ht="15.75" hidden="false" customHeight="false" outlineLevel="0" collapsed="false">
      <c r="A50" s="1" t="s">
        <v>204</v>
      </c>
      <c r="B50" s="2" t="s">
        <v>205</v>
      </c>
      <c r="C50" s="2" t="s">
        <v>206</v>
      </c>
      <c r="D50" s="2" t="s">
        <v>17</v>
      </c>
      <c r="E50" s="2" t="s">
        <v>18</v>
      </c>
      <c r="F50" s="1" t="n">
        <v>800000</v>
      </c>
      <c r="G50" s="1" t="n">
        <v>1200000</v>
      </c>
      <c r="H50" s="3" t="n">
        <f aca="false">AVERAGE(F50:G50)</f>
        <v>1000000</v>
      </c>
      <c r="I50" s="1" t="n">
        <v>1200</v>
      </c>
      <c r="J50" s="3" t="n">
        <f aca="false">LOG10(H50)</f>
        <v>6</v>
      </c>
      <c r="K50" s="3" t="n">
        <f aca="false">LOG10(I50)</f>
        <v>3.07918124604762</v>
      </c>
      <c r="L50" s="1" t="n">
        <f aca="false">(J50-K50)</f>
        <v>2.92081875395238</v>
      </c>
      <c r="M50" s="1" t="n">
        <f aca="false">POWER(10,J50-K50)</f>
        <v>833.333333333334</v>
      </c>
      <c r="N50" s="1" t="s">
        <v>207</v>
      </c>
    </row>
    <row r="51" customFormat="false" ht="15.75" hidden="false" customHeight="false" outlineLevel="0" collapsed="false">
      <c r="A51" s="1" t="s">
        <v>208</v>
      </c>
      <c r="B51" s="2" t="s">
        <v>209</v>
      </c>
      <c r="C51" s="2" t="s">
        <v>210</v>
      </c>
      <c r="D51" s="2" t="s">
        <v>17</v>
      </c>
      <c r="E51" s="2" t="s">
        <v>18</v>
      </c>
      <c r="F51" s="1" t="n">
        <v>9000</v>
      </c>
      <c r="G51" s="1" t="n">
        <v>15000</v>
      </c>
      <c r="H51" s="3" t="n">
        <f aca="false">AVERAGE(F51:G51)</f>
        <v>12000</v>
      </c>
      <c r="I51" s="1" t="n">
        <v>181</v>
      </c>
      <c r="J51" s="3" t="n">
        <f aca="false">LOG10(H51)</f>
        <v>4.07918124604763</v>
      </c>
      <c r="K51" s="3" t="n">
        <f aca="false">LOG10(I51)</f>
        <v>2.25767857486918</v>
      </c>
      <c r="L51" s="1" t="n">
        <f aca="false">(J51-K51)</f>
        <v>1.82150267117844</v>
      </c>
      <c r="M51" s="1" t="n">
        <f aca="false">POWER(10,J51-K51)</f>
        <v>66.2983425414365</v>
      </c>
      <c r="N51" s="1" t="s">
        <v>211</v>
      </c>
    </row>
    <row r="52" customFormat="false" ht="15.75" hidden="false" customHeight="false" outlineLevel="0" collapsed="false">
      <c r="A52" s="1" t="s">
        <v>212</v>
      </c>
      <c r="B52" s="2" t="s">
        <v>213</v>
      </c>
      <c r="C52" s="2" t="s">
        <v>214</v>
      </c>
      <c r="D52" s="2" t="s">
        <v>131</v>
      </c>
      <c r="E52" s="2" t="s">
        <v>18</v>
      </c>
      <c r="H52" s="1" t="n">
        <v>200000</v>
      </c>
      <c r="I52" s="1" t="n">
        <v>2000</v>
      </c>
      <c r="J52" s="3" t="n">
        <f aca="false">LOG10(H52)</f>
        <v>5.30102999566398</v>
      </c>
      <c r="K52" s="3" t="n">
        <f aca="false">LOG10(I52)</f>
        <v>3.30102999566398</v>
      </c>
      <c r="L52" s="1" t="n">
        <f aca="false">(J52-K52)</f>
        <v>2</v>
      </c>
      <c r="M52" s="1" t="n">
        <f aca="false">POWER(10,J52-K52)</f>
        <v>100</v>
      </c>
      <c r="N52" s="1" t="s">
        <v>215</v>
      </c>
    </row>
    <row r="53" customFormat="false" ht="15.75" hidden="false" customHeight="false" outlineLevel="0" collapsed="false">
      <c r="A53" s="4" t="s">
        <v>216</v>
      </c>
      <c r="B53" s="5" t="s">
        <v>217</v>
      </c>
      <c r="C53" s="5" t="s">
        <v>216</v>
      </c>
      <c r="D53" s="5" t="s">
        <v>131</v>
      </c>
      <c r="E53" s="5" t="s">
        <v>18</v>
      </c>
      <c r="F53" s="4" t="n">
        <v>5000</v>
      </c>
      <c r="G53" s="4" t="n">
        <v>10000</v>
      </c>
      <c r="H53" s="3" t="n">
        <f aca="false">AVERAGE(F53:G53)</f>
        <v>7500</v>
      </c>
      <c r="I53" s="4" t="n">
        <f aca="false">(37+32)/2</f>
        <v>34.5</v>
      </c>
      <c r="J53" s="3" t="n">
        <f aca="false">LOG10(H53)</f>
        <v>3.8750612633917</v>
      </c>
      <c r="K53" s="3" t="n">
        <f aca="false">LOG10(I53)</f>
        <v>1.53781909507327</v>
      </c>
      <c r="L53" s="1" t="n">
        <f aca="false">(J53-K53)</f>
        <v>2.33724216831843</v>
      </c>
      <c r="M53" s="1" t="n">
        <f aca="false">POWER(10,J53-K53)</f>
        <v>217.391304347826</v>
      </c>
      <c r="N53" s="4" t="s">
        <v>218</v>
      </c>
      <c r="O53" s="6"/>
      <c r="P53" s="6"/>
      <c r="Q53" s="6"/>
      <c r="R53" s="6"/>
      <c r="S53" s="6"/>
      <c r="T53" s="6"/>
      <c r="U53" s="6"/>
      <c r="V53" s="6"/>
      <c r="W53" s="6"/>
      <c r="X53" s="6"/>
      <c r="Y53" s="6"/>
      <c r="Z53" s="6"/>
      <c r="AA53" s="6"/>
      <c r="AB53" s="6"/>
      <c r="AC53" s="6"/>
      <c r="AD53" s="6"/>
      <c r="AE53" s="6"/>
      <c r="AF53" s="6"/>
      <c r="AG53" s="6"/>
      <c r="AH53" s="6"/>
      <c r="AI53" s="6"/>
    </row>
    <row r="54" customFormat="false" ht="15.75" hidden="false" customHeight="false" outlineLevel="0" collapsed="false">
      <c r="A54" s="1" t="s">
        <v>219</v>
      </c>
      <c r="B54" s="2" t="s">
        <v>220</v>
      </c>
      <c r="C54" s="2" t="s">
        <v>221</v>
      </c>
      <c r="D54" s="2" t="s">
        <v>174</v>
      </c>
      <c r="E54" s="2" t="s">
        <v>27</v>
      </c>
      <c r="H54" s="1" t="n">
        <v>3500</v>
      </c>
      <c r="I54" s="1" t="n">
        <v>70</v>
      </c>
      <c r="J54" s="3" t="n">
        <f aca="false">LOG10(H54)</f>
        <v>3.54406804435028</v>
      </c>
      <c r="K54" s="3" t="n">
        <f aca="false">LOG10(I54)</f>
        <v>1.84509804001426</v>
      </c>
      <c r="L54" s="1" t="n">
        <f aca="false">(J54-K54)</f>
        <v>1.69897000433602</v>
      </c>
      <c r="M54" s="1" t="n">
        <f aca="false">POWER(10,J54-K54)</f>
        <v>50</v>
      </c>
      <c r="N54" s="1" t="s">
        <v>222</v>
      </c>
    </row>
    <row r="55" customFormat="false" ht="15.75" hidden="false" customHeight="false" outlineLevel="0" collapsed="false">
      <c r="A55" s="1" t="s">
        <v>223</v>
      </c>
      <c r="B55" s="2" t="s">
        <v>193</v>
      </c>
      <c r="C55" s="2" t="s">
        <v>224</v>
      </c>
      <c r="D55" s="2" t="s">
        <v>17</v>
      </c>
      <c r="E55" s="2" t="s">
        <v>27</v>
      </c>
      <c r="F55" s="1" t="n">
        <v>71856</v>
      </c>
      <c r="G55" s="1" t="n">
        <v>105263</v>
      </c>
      <c r="H55" s="1" t="n">
        <f aca="false">AVERAGE(F55,G55)</f>
        <v>88559.5</v>
      </c>
      <c r="I55" s="1" t="n">
        <v>1200</v>
      </c>
      <c r="J55" s="1" t="n">
        <f aca="false">LOG10(H55)</f>
        <v>4.94723515588496</v>
      </c>
      <c r="K55" s="3" t="n">
        <f aca="false">LOG10(I55)</f>
        <v>3.07918124604762</v>
      </c>
      <c r="L55" s="1" t="n">
        <f aca="false">(J55-K55)</f>
        <v>1.86805390983734</v>
      </c>
      <c r="M55" s="1" t="n">
        <f aca="false">POWER(10,J55-K55)</f>
        <v>73.7995833333334</v>
      </c>
      <c r="N55" s="1" t="s">
        <v>225</v>
      </c>
    </row>
    <row r="56" customFormat="false" ht="15.75" hidden="false" customHeight="false" outlineLevel="0" collapsed="false">
      <c r="A56" s="1" t="s">
        <v>226</v>
      </c>
      <c r="B56" s="2" t="s">
        <v>227</v>
      </c>
      <c r="C56" s="2" t="s">
        <v>228</v>
      </c>
      <c r="D56" s="2" t="s">
        <v>17</v>
      </c>
      <c r="E56" s="2" t="s">
        <v>27</v>
      </c>
      <c r="F56" s="1" t="n">
        <v>100000</v>
      </c>
      <c r="G56" s="1" t="n">
        <v>150000</v>
      </c>
      <c r="H56" s="3" t="n">
        <f aca="false">AVERAGEA(F56:G56)</f>
        <v>125000</v>
      </c>
      <c r="I56" s="1" t="n">
        <v>650</v>
      </c>
      <c r="J56" s="3" t="n">
        <f aca="false">LOG10(H56)</f>
        <v>5.09691001300806</v>
      </c>
      <c r="K56" s="3" t="n">
        <f aca="false">LOG10(I56)</f>
        <v>2.81291335664286</v>
      </c>
      <c r="L56" s="1" t="n">
        <f aca="false">(J56-K56)</f>
        <v>2.2839966563652</v>
      </c>
      <c r="M56" s="1" t="n">
        <f aca="false">POWER(10,J56-K56)</f>
        <v>192.307692307692</v>
      </c>
      <c r="N56" s="1" t="s">
        <v>229</v>
      </c>
    </row>
    <row r="57" customFormat="false" ht="15.75" hidden="false" customHeight="false" outlineLevel="0" collapsed="false">
      <c r="A57" s="1" t="s">
        <v>230</v>
      </c>
      <c r="B57" s="2" t="s">
        <v>231</v>
      </c>
      <c r="C57" s="2" t="s">
        <v>232</v>
      </c>
      <c r="D57" s="2" t="s">
        <v>131</v>
      </c>
      <c r="E57" s="2" t="s">
        <v>27</v>
      </c>
      <c r="H57" s="1" t="n">
        <v>16177</v>
      </c>
      <c r="I57" s="1" t="n">
        <v>463</v>
      </c>
      <c r="J57" s="3" t="n">
        <f aca="false">LOG10(H57)</f>
        <v>4.20889798549337</v>
      </c>
      <c r="K57" s="3" t="n">
        <f aca="false">LOG10(I57)</f>
        <v>2.66558099101795</v>
      </c>
      <c r="L57" s="1" t="n">
        <f aca="false">(J57-K57)</f>
        <v>1.54331699447541</v>
      </c>
      <c r="M57" s="1" t="n">
        <f aca="false">POWER(10,J57-K57)</f>
        <v>34.939524838013</v>
      </c>
      <c r="N57" s="1" t="s">
        <v>233</v>
      </c>
    </row>
    <row r="58" customFormat="false" ht="15.75" hidden="false" customHeight="false" outlineLevel="0" collapsed="false">
      <c r="A58" s="1" t="s">
        <v>234</v>
      </c>
      <c r="B58" s="2" t="s">
        <v>235</v>
      </c>
      <c r="C58" s="2" t="s">
        <v>234</v>
      </c>
      <c r="D58" s="2" t="s">
        <v>17</v>
      </c>
      <c r="E58" s="2" t="s">
        <v>18</v>
      </c>
      <c r="F58" s="1" t="n">
        <v>15183</v>
      </c>
      <c r="G58" s="1" t="n">
        <v>26724</v>
      </c>
      <c r="H58" s="3" t="n">
        <f aca="false">AVERAGE(F58:G58)</f>
        <v>20953.5</v>
      </c>
      <c r="I58" s="1" t="n">
        <v>98.7</v>
      </c>
      <c r="J58" s="3" t="n">
        <f aca="false">LOG10(H58)</f>
        <v>4.32125657640634</v>
      </c>
      <c r="K58" s="3" t="n">
        <f aca="false">LOG10(I58)</f>
        <v>1.99431715266964</v>
      </c>
      <c r="L58" s="1" t="n">
        <f aca="false">(J58-K58)</f>
        <v>2.3269394237367</v>
      </c>
      <c r="M58" s="1" t="n">
        <f aca="false">POWER(10,J58-K58)</f>
        <v>212.294832826748</v>
      </c>
      <c r="N58" s="1" t="s">
        <v>236</v>
      </c>
    </row>
    <row r="59" customFormat="false" ht="15.75" hidden="false" customHeight="false" outlineLevel="0" collapsed="false">
      <c r="A59" s="1" t="s">
        <v>237</v>
      </c>
      <c r="B59" s="2" t="s">
        <v>238</v>
      </c>
      <c r="C59" s="2" t="s">
        <v>239</v>
      </c>
      <c r="D59" s="2" t="s">
        <v>17</v>
      </c>
      <c r="E59" s="2" t="s">
        <v>27</v>
      </c>
      <c r="F59" s="1" t="n">
        <v>3500</v>
      </c>
      <c r="G59" s="1" t="n">
        <v>8000</v>
      </c>
      <c r="H59" s="1" t="n">
        <f aca="false">AVERAGE(F59,G59)</f>
        <v>5750</v>
      </c>
      <c r="I59" s="1" t="n">
        <v>100</v>
      </c>
      <c r="J59" s="1" t="n">
        <f aca="false">LOG10(H59)</f>
        <v>3.75966784468963</v>
      </c>
      <c r="K59" s="3" t="n">
        <f aca="false">LOG10(I59)</f>
        <v>2</v>
      </c>
      <c r="L59" s="1" t="n">
        <f aca="false">(J59-K59)</f>
        <v>1.75966784468963</v>
      </c>
      <c r="M59" s="1" t="n">
        <f aca="false">POWER(10,J59-K59)</f>
        <v>57.5</v>
      </c>
      <c r="N59" s="1" t="s">
        <v>240</v>
      </c>
    </row>
    <row r="60" customFormat="false" ht="15.75" hidden="false" customHeight="false" outlineLevel="0" collapsed="false">
      <c r="A60" s="1" t="s">
        <v>241</v>
      </c>
      <c r="B60" s="2" t="s">
        <v>242</v>
      </c>
      <c r="C60" s="2" t="s">
        <v>243</v>
      </c>
      <c r="D60" s="2" t="s">
        <v>17</v>
      </c>
      <c r="E60" s="2" t="s">
        <v>18</v>
      </c>
      <c r="F60" s="1" t="n">
        <v>500000</v>
      </c>
      <c r="G60" s="1" t="n">
        <v>825000</v>
      </c>
      <c r="H60" s="1" t="n">
        <f aca="false">AVERAGE(F60:G60)</f>
        <v>662500</v>
      </c>
      <c r="I60" s="1" t="n">
        <v>2387</v>
      </c>
      <c r="J60" s="1" t="n">
        <f aca="false">LOG10(H60)</f>
        <v>5.82118588260885</v>
      </c>
      <c r="K60" s="1" t="n">
        <f aca="false">LOG10(I60)</f>
        <v>3.37785241900675</v>
      </c>
      <c r="L60" s="1" t="n">
        <f aca="false">(J60-K60)</f>
        <v>2.44333346360209</v>
      </c>
      <c r="M60" s="1" t="n">
        <f aca="false">POWER(10,J60-K60)</f>
        <v>277.545035609552</v>
      </c>
      <c r="N60" s="1" t="s">
        <v>244</v>
      </c>
    </row>
    <row r="61" customFormat="false" ht="15.75" hidden="false" customHeight="false" outlineLevel="0" collapsed="false">
      <c r="A61" s="1" t="s">
        <v>245</v>
      </c>
      <c r="B61" s="2" t="s">
        <v>246</v>
      </c>
      <c r="C61" s="2" t="s">
        <v>247</v>
      </c>
      <c r="D61" s="2" t="s">
        <v>17</v>
      </c>
      <c r="E61" s="2" t="s">
        <v>18</v>
      </c>
      <c r="F61" s="1" t="n">
        <v>890000</v>
      </c>
      <c r="G61" s="1" t="n">
        <v>1300000</v>
      </c>
      <c r="H61" s="1" t="n">
        <f aca="false">AVERAGE(F61:G61)</f>
        <v>1095000</v>
      </c>
      <c r="I61" s="1" t="n">
        <v>8400</v>
      </c>
      <c r="J61" s="1" t="n">
        <f aca="false">LOG10(H61)</f>
        <v>6.03941411917614</v>
      </c>
      <c r="K61" s="1" t="n">
        <f aca="false">LOG10(I61)</f>
        <v>3.92427928606188</v>
      </c>
      <c r="L61" s="1" t="n">
        <f aca="false">(J61-K61)</f>
        <v>2.11513483311426</v>
      </c>
      <c r="M61" s="1" t="n">
        <f aca="false">POWER(10,J61-K61)</f>
        <v>130.357142857143</v>
      </c>
      <c r="N61" s="1" t="s">
        <v>248</v>
      </c>
    </row>
    <row r="62" customFormat="false" ht="15.75" hidden="false" customHeight="false" outlineLevel="0" collapsed="false">
      <c r="A62" s="1" t="s">
        <v>249</v>
      </c>
      <c r="B62" s="2" t="s">
        <v>250</v>
      </c>
      <c r="C62" s="2" t="s">
        <v>251</v>
      </c>
      <c r="D62" s="2" t="s">
        <v>252</v>
      </c>
      <c r="E62" s="2" t="s">
        <v>18</v>
      </c>
      <c r="F62" s="1" t="n">
        <v>14000</v>
      </c>
      <c r="G62" s="1" t="n">
        <v>18000</v>
      </c>
      <c r="H62" s="3" t="n">
        <f aca="false">(F62+G62)/2</f>
        <v>16000</v>
      </c>
      <c r="I62" s="1" t="n">
        <v>70</v>
      </c>
      <c r="J62" s="1" t="n">
        <f aca="false">LOG10(H62)</f>
        <v>4.20411998265593</v>
      </c>
      <c r="K62" s="1" t="n">
        <f aca="false">LOG10(I62)</f>
        <v>1.84509804001426</v>
      </c>
      <c r="L62" s="1" t="n">
        <f aca="false">(J62-K62)</f>
        <v>2.35902194264167</v>
      </c>
      <c r="M62" s="1" t="n">
        <f aca="false">POWER(10,J62-K62)</f>
        <v>228.571428571429</v>
      </c>
      <c r="N62" s="1" t="s">
        <v>253</v>
      </c>
    </row>
    <row r="63" customFormat="false" ht="15.75" hidden="false" customHeight="false" outlineLevel="0" collapsed="false">
      <c r="A63" s="1" t="s">
        <v>254</v>
      </c>
      <c r="B63" s="2" t="s">
        <v>255</v>
      </c>
      <c r="C63" s="2" t="s">
        <v>256</v>
      </c>
      <c r="D63" s="2" t="s">
        <v>17</v>
      </c>
      <c r="E63" s="2" t="s">
        <v>18</v>
      </c>
      <c r="H63" s="1" t="n">
        <v>25000</v>
      </c>
      <c r="I63" s="1" t="n">
        <v>170</v>
      </c>
      <c r="J63" s="3" t="n">
        <f aca="false">LOG10(H63)</f>
        <v>4.39794000867204</v>
      </c>
      <c r="K63" s="3" t="n">
        <f aca="false">LOG10(I63)</f>
        <v>2.23044892137827</v>
      </c>
      <c r="L63" s="1" t="n">
        <f aca="false">(J63-K63)</f>
        <v>2.16749108729376</v>
      </c>
      <c r="M63" s="1" t="n">
        <f aca="false">POWER(10,J63-K63)</f>
        <v>147.058823529412</v>
      </c>
      <c r="N63" s="1" t="s">
        <v>257</v>
      </c>
    </row>
    <row r="64" customFormat="false" ht="15.75" hidden="false" customHeight="false" outlineLevel="0" collapsed="false">
      <c r="A64" s="1" t="s">
        <v>258</v>
      </c>
      <c r="B64" s="2" t="s">
        <v>259</v>
      </c>
      <c r="C64" s="2" t="s">
        <v>260</v>
      </c>
      <c r="D64" s="2" t="s">
        <v>252</v>
      </c>
      <c r="E64" s="2" t="s">
        <v>18</v>
      </c>
      <c r="F64" s="1" t="n">
        <v>70000</v>
      </c>
      <c r="G64" s="1" t="n">
        <v>150000</v>
      </c>
      <c r="H64" s="1" t="n">
        <f aca="false">AVERAGE(F64,G64)</f>
        <v>110000</v>
      </c>
      <c r="I64" s="1" t="n">
        <f aca="false">2393/2</f>
        <v>1196.5</v>
      </c>
      <c r="J64" s="3" t="n">
        <f aca="false">LOG10(H64)</f>
        <v>5.04139268515823</v>
      </c>
      <c r="K64" s="3" t="n">
        <f aca="false">LOG10(I64)</f>
        <v>3.07791270294946</v>
      </c>
      <c r="L64" s="1" t="n">
        <f aca="false">(J64-K64)</f>
        <v>1.96347998220877</v>
      </c>
      <c r="M64" s="1" t="n">
        <f aca="false">POWER(10,J64-K64)</f>
        <v>91.9348098620979</v>
      </c>
      <c r="N64" s="1" t="s">
        <v>261</v>
      </c>
    </row>
    <row r="65" customFormat="false" ht="15.75" hidden="false" customHeight="false" outlineLevel="0" collapsed="false">
      <c r="A65" s="1" t="s">
        <v>262</v>
      </c>
      <c r="B65" s="2" t="s">
        <v>263</v>
      </c>
      <c r="C65" s="2" t="s">
        <v>264</v>
      </c>
      <c r="D65" s="2" t="s">
        <v>17</v>
      </c>
      <c r="E65" s="2" t="s">
        <v>18</v>
      </c>
      <c r="F65" s="1" t="n">
        <v>60000</v>
      </c>
      <c r="G65" s="1" t="n">
        <v>120000</v>
      </c>
      <c r="H65" s="3" t="n">
        <f aca="false">AVERAGE(F65:G65)</f>
        <v>90000</v>
      </c>
      <c r="I65" s="1" t="n">
        <v>600</v>
      </c>
      <c r="J65" s="3" t="n">
        <f aca="false">LOG10(H65)</f>
        <v>4.95424250943933</v>
      </c>
      <c r="K65" s="3" t="n">
        <f aca="false">LOG10(I65)</f>
        <v>2.77815125038364</v>
      </c>
      <c r="L65" s="1" t="n">
        <f aca="false">(J65-K65)</f>
        <v>2.17609125905568</v>
      </c>
      <c r="M65" s="1" t="n">
        <f aca="false">POWER(10,J65-K65)</f>
        <v>150</v>
      </c>
      <c r="N65" s="1" t="s">
        <v>265</v>
      </c>
    </row>
    <row r="66" customFormat="false" ht="15.75" hidden="false" customHeight="false" outlineLevel="0" collapsed="false">
      <c r="A66" s="1" t="s">
        <v>266</v>
      </c>
      <c r="B66" s="2" t="s">
        <v>227</v>
      </c>
      <c r="C66" s="2" t="s">
        <v>267</v>
      </c>
      <c r="D66" s="2" t="s">
        <v>17</v>
      </c>
      <c r="E66" s="2" t="s">
        <v>18</v>
      </c>
      <c r="F66" s="1" t="n">
        <v>10000</v>
      </c>
      <c r="G66" s="1" t="n">
        <v>20000</v>
      </c>
      <c r="H66" s="3" t="n">
        <f aca="false">AVERAGE(F66:G66)</f>
        <v>15000</v>
      </c>
      <c r="I66" s="1" t="n">
        <f aca="false">133</f>
        <v>133</v>
      </c>
      <c r="J66" s="3" t="n">
        <f aca="false">LOG10(H66)</f>
        <v>4.17609125905568</v>
      </c>
      <c r="K66" s="3" t="n">
        <f aca="false">LOG10(I66)</f>
        <v>2.12385164096709</v>
      </c>
      <c r="L66" s="1" t="n">
        <f aca="false">(J66-K66)</f>
        <v>2.0522396180886</v>
      </c>
      <c r="M66" s="1" t="n">
        <f aca="false">POWER(10,J66-K66)</f>
        <v>112.781954887218</v>
      </c>
      <c r="N66" s="1" t="s">
        <v>268</v>
      </c>
    </row>
    <row r="67" customFormat="false" ht="15.75" hidden="false" customHeight="false" outlineLevel="0" collapsed="false">
      <c r="A67" s="1" t="s">
        <v>269</v>
      </c>
      <c r="B67" s="2" t="s">
        <v>193</v>
      </c>
      <c r="C67" s="2" t="s">
        <v>270</v>
      </c>
      <c r="D67" s="2" t="s">
        <v>17</v>
      </c>
      <c r="E67" s="2" t="s">
        <v>18</v>
      </c>
      <c r="H67" s="1" t="n">
        <v>70000</v>
      </c>
      <c r="I67" s="1" t="n">
        <v>333</v>
      </c>
      <c r="J67" s="1" t="n">
        <f aca="false">LOG10(H67)</f>
        <v>4.84509804001426</v>
      </c>
      <c r="K67" s="1" t="n">
        <f aca="false">LOG10(I67)</f>
        <v>2.52244423350632</v>
      </c>
      <c r="L67" s="1" t="n">
        <f aca="false">(J67-K67)</f>
        <v>2.32265380650794</v>
      </c>
      <c r="M67" s="1" t="n">
        <f aca="false">POWER(10,J67-K67)</f>
        <v>210.21021021021</v>
      </c>
      <c r="N67" s="1" t="s">
        <v>271</v>
      </c>
    </row>
    <row r="68" customFormat="false" ht="15.75" hidden="false" customHeight="false" outlineLevel="0" collapsed="false">
      <c r="A68" s="1" t="s">
        <v>272</v>
      </c>
      <c r="B68" s="2" t="s">
        <v>273</v>
      </c>
      <c r="C68" s="2" t="s">
        <v>274</v>
      </c>
      <c r="D68" s="2" t="s">
        <v>17</v>
      </c>
      <c r="E68" s="2" t="s">
        <v>18</v>
      </c>
      <c r="F68" s="1" t="n">
        <v>575000</v>
      </c>
      <c r="G68" s="1" t="n">
        <v>900000</v>
      </c>
      <c r="H68" s="9" t="n">
        <f aca="false">AVERAGE(F68:G68)</f>
        <v>737500</v>
      </c>
      <c r="I68" s="9" t="n">
        <v>1615</v>
      </c>
      <c r="J68" s="3" t="n">
        <f aca="false">LOG10(H68)</f>
        <v>5.8677620246502</v>
      </c>
      <c r="K68" s="3" t="n">
        <f aca="false">LOG10(I68)</f>
        <v>3.20817252666712</v>
      </c>
      <c r="L68" s="1" t="n">
        <f aca="false">(J68-K68)</f>
        <v>2.65958949798308</v>
      </c>
      <c r="M68" s="1" t="n">
        <f aca="false">POWER(10,J68-K68)</f>
        <v>456.656346749226</v>
      </c>
      <c r="N68" s="1" t="s">
        <v>275</v>
      </c>
      <c r="O68" s="3"/>
      <c r="P68" s="3"/>
      <c r="Q68" s="3"/>
      <c r="R68" s="3"/>
      <c r="S68" s="3"/>
      <c r="T68" s="3"/>
      <c r="U68" s="3"/>
      <c r="V68" s="3"/>
      <c r="W68" s="3"/>
      <c r="X68" s="3"/>
      <c r="Y68" s="3"/>
      <c r="Z68" s="3"/>
      <c r="AA68" s="3"/>
      <c r="AB68" s="3"/>
      <c r="AC68" s="3"/>
      <c r="AD68" s="3"/>
      <c r="AE68" s="3"/>
      <c r="AF68" s="3"/>
      <c r="AG68" s="3"/>
      <c r="AH68" s="3"/>
      <c r="AI68" s="3"/>
    </row>
    <row r="69" customFormat="false" ht="15.75" hidden="false" customHeight="false" outlineLevel="0" collapsed="false">
      <c r="A69" s="1" t="s">
        <v>276</v>
      </c>
      <c r="B69" s="2" t="s">
        <v>277</v>
      </c>
      <c r="C69" s="2" t="s">
        <v>278</v>
      </c>
      <c r="D69" s="2" t="s">
        <v>17</v>
      </c>
      <c r="E69" s="2" t="s">
        <v>18</v>
      </c>
      <c r="F69" s="3" t="n">
        <f aca="false">52839*5</f>
        <v>264195</v>
      </c>
      <c r="G69" s="1" t="n">
        <v>500000</v>
      </c>
      <c r="H69" s="1" t="n">
        <f aca="false">AVERAGE(F69:G69)</f>
        <v>382097.5</v>
      </c>
      <c r="I69" s="1" t="n">
        <v>1010</v>
      </c>
      <c r="J69" s="1" t="n">
        <f aca="false">LOG10(H69)</f>
        <v>5.58217419618159</v>
      </c>
      <c r="K69" s="1" t="n">
        <f aca="false">LOG10(I69)</f>
        <v>3.00432137378264</v>
      </c>
      <c r="L69" s="1" t="n">
        <f aca="false">(J69-K69)</f>
        <v>2.57785282239894</v>
      </c>
      <c r="M69" s="1" t="n">
        <f aca="false">POWER(10,J69-K69)</f>
        <v>378.314356435643</v>
      </c>
      <c r="N69" s="1" t="s">
        <v>279</v>
      </c>
    </row>
    <row r="70" customFormat="false" ht="15.75" hidden="false" customHeight="false" outlineLevel="0" collapsed="false">
      <c r="A70" s="1" t="s">
        <v>280</v>
      </c>
      <c r="B70" s="2" t="s">
        <v>281</v>
      </c>
      <c r="C70" s="2" t="s">
        <v>280</v>
      </c>
      <c r="D70" s="2" t="s">
        <v>17</v>
      </c>
      <c r="E70" s="2" t="s">
        <v>27</v>
      </c>
      <c r="H70" s="1" t="n">
        <v>12000</v>
      </c>
      <c r="I70" s="1" t="n">
        <v>420</v>
      </c>
      <c r="J70" s="3" t="n">
        <f aca="false">LOG10(H70)</f>
        <v>4.07918124604763</v>
      </c>
      <c r="K70" s="3" t="n">
        <f aca="false">LOG10(I70)</f>
        <v>2.6232492903979</v>
      </c>
      <c r="L70" s="1" t="n">
        <f aca="false">(J70-K70)</f>
        <v>1.45593195564972</v>
      </c>
      <c r="M70" s="1" t="n">
        <f aca="false">POWER(10,J70-K70)</f>
        <v>28.5714285714286</v>
      </c>
      <c r="N70" s="1" t="s">
        <v>282</v>
      </c>
    </row>
    <row r="71" customFormat="false" ht="15.75" hidden="false" customHeight="false" outlineLevel="0" collapsed="false">
      <c r="A71" s="1" t="s">
        <v>283</v>
      </c>
      <c r="B71" s="2" t="s">
        <v>284</v>
      </c>
      <c r="C71" s="2" t="s">
        <v>285</v>
      </c>
      <c r="D71" s="2" t="s">
        <v>17</v>
      </c>
      <c r="E71" s="2" t="s">
        <v>18</v>
      </c>
      <c r="H71" s="1" t="n">
        <v>6000</v>
      </c>
      <c r="I71" s="1" t="n">
        <v>31</v>
      </c>
      <c r="J71" s="3" t="n">
        <f aca="false">LOG10(H71)</f>
        <v>3.77815125038364</v>
      </c>
      <c r="K71" s="3" t="n">
        <f aca="false">LOG10(I71)</f>
        <v>1.49136169383427</v>
      </c>
      <c r="L71" s="1" t="n">
        <f aca="false">(J71-K71)</f>
        <v>2.28678955654937</v>
      </c>
      <c r="M71" s="1" t="n">
        <f aca="false">POWER(10,J71-K71)</f>
        <v>193.548387096774</v>
      </c>
      <c r="N71" s="1" t="s">
        <v>286</v>
      </c>
    </row>
    <row r="72" customFormat="false" ht="15.75" hidden="false" customHeight="false" outlineLevel="0" collapsed="false">
      <c r="A72" s="1" t="s">
        <v>287</v>
      </c>
      <c r="B72" s="2" t="s">
        <v>227</v>
      </c>
      <c r="C72" s="2" t="s">
        <v>228</v>
      </c>
      <c r="D72" s="2" t="s">
        <v>17</v>
      </c>
      <c r="E72" s="2" t="s">
        <v>27</v>
      </c>
      <c r="H72" s="1" t="n">
        <v>150000</v>
      </c>
      <c r="I72" s="1" t="n">
        <v>400</v>
      </c>
      <c r="J72" s="3" t="n">
        <f aca="false">LOG10(H72)</f>
        <v>5.17609125905568</v>
      </c>
      <c r="K72" s="3" t="n">
        <f aca="false">LOG10(I72)</f>
        <v>2.60205999132796</v>
      </c>
      <c r="L72" s="1" t="n">
        <f aca="false">(J72-K72)</f>
        <v>2.57403126772772</v>
      </c>
      <c r="M72" s="1" t="n">
        <f aca="false">POWER(10,J72-K72)</f>
        <v>375</v>
      </c>
      <c r="N72" s="1" t="s">
        <v>288</v>
      </c>
    </row>
    <row r="73" customFormat="false" ht="15.75" hidden="false" customHeight="false" outlineLevel="0" collapsed="false">
      <c r="A73" s="2" t="s">
        <v>289</v>
      </c>
      <c r="B73" s="2"/>
      <c r="C73" s="2" t="s">
        <v>290</v>
      </c>
      <c r="D73" s="2" t="s">
        <v>17</v>
      </c>
      <c r="E73" s="2" t="s">
        <v>27</v>
      </c>
      <c r="F73" s="10"/>
      <c r="G73" s="10"/>
      <c r="H73" s="10" t="s">
        <v>291</v>
      </c>
      <c r="I73" s="8" t="n">
        <v>300</v>
      </c>
      <c r="J73" s="3" t="n">
        <f aca="false">LOG10(H73)</f>
        <v>5.17609125905568</v>
      </c>
      <c r="K73" s="3" t="n">
        <f aca="false">LOG10(I73)</f>
        <v>2.47712125471966</v>
      </c>
      <c r="L73" s="1" t="n">
        <f aca="false">(J73-K73)</f>
        <v>2.69897000433602</v>
      </c>
      <c r="M73" s="1" t="n">
        <f aca="false">POWER(10,J73-K73)</f>
        <v>500</v>
      </c>
      <c r="N73" s="1" t="s">
        <v>271</v>
      </c>
    </row>
    <row r="74" customFormat="false" ht="15.75" hidden="false" customHeight="false" outlineLevel="0" collapsed="false">
      <c r="A74" s="1" t="s">
        <v>292</v>
      </c>
      <c r="B74" s="2" t="s">
        <v>293</v>
      </c>
      <c r="C74" s="2" t="s">
        <v>294</v>
      </c>
      <c r="D74" s="2" t="s">
        <v>17</v>
      </c>
      <c r="E74" s="2" t="s">
        <v>18</v>
      </c>
      <c r="H74" s="1" t="n">
        <v>41250</v>
      </c>
      <c r="I74" s="1" t="n">
        <v>250</v>
      </c>
      <c r="J74" s="1" t="n">
        <f aca="false">LOG10(H74)</f>
        <v>4.61542395288594</v>
      </c>
      <c r="K74" s="1" t="n">
        <f aca="false">LOG10(I74)</f>
        <v>2.39794000867204</v>
      </c>
      <c r="L74" s="1" t="n">
        <f aca="false">(J74-K74)</f>
        <v>2.21748394421391</v>
      </c>
      <c r="M74" s="1" t="n">
        <f aca="false">POWER(10,J74-K74)</f>
        <v>165</v>
      </c>
      <c r="N74" s="1" t="s">
        <v>295</v>
      </c>
    </row>
    <row r="75" customFormat="false" ht="15.75" hidden="false" customHeight="false" outlineLevel="0" collapsed="false">
      <c r="A75" s="1" t="s">
        <v>296</v>
      </c>
      <c r="B75" s="2" t="s">
        <v>297</v>
      </c>
      <c r="C75" s="2" t="s">
        <v>298</v>
      </c>
      <c r="D75" s="2" t="s">
        <v>299</v>
      </c>
      <c r="E75" s="2" t="s">
        <v>18</v>
      </c>
      <c r="F75" s="1" t="n">
        <v>15108</v>
      </c>
      <c r="G75" s="1" t="n">
        <v>30216</v>
      </c>
      <c r="H75" s="3" t="n">
        <f aca="false">(F75+G75)/2</f>
        <v>22662</v>
      </c>
      <c r="I75" s="3" t="n">
        <f aca="false">650</f>
        <v>650</v>
      </c>
      <c r="J75" s="1" t="n">
        <f aca="false">LOG10(H75)</f>
        <v>4.35529823521117</v>
      </c>
      <c r="K75" s="1" t="n">
        <f aca="false">LOG10(I75)</f>
        <v>2.81291335664286</v>
      </c>
      <c r="L75" s="1" t="n">
        <f aca="false">(J75-K75)</f>
        <v>1.54238487856831</v>
      </c>
      <c r="M75" s="1" t="n">
        <f aca="false">POWER(10,J75-K75)</f>
        <v>34.8646153846154</v>
      </c>
      <c r="N75" s="1" t="s">
        <v>300</v>
      </c>
    </row>
    <row r="76" customFormat="false" ht="15.75" hidden="false" customHeight="false" outlineLevel="0" collapsed="false">
      <c r="A76" s="1" t="s">
        <v>301</v>
      </c>
      <c r="B76" s="2" t="s">
        <v>302</v>
      </c>
      <c r="C76" s="2" t="s">
        <v>303</v>
      </c>
      <c r="D76" s="2" t="s">
        <v>131</v>
      </c>
      <c r="E76" s="2" t="s">
        <v>27</v>
      </c>
      <c r="F76" s="1" t="n">
        <f aca="false">I76*40</f>
        <v>1280</v>
      </c>
      <c r="G76" s="1" t="n">
        <f aca="false">I76*60</f>
        <v>1920</v>
      </c>
      <c r="H76" s="3" t="n">
        <f aca="false">(F76+G76)/2</f>
        <v>1600</v>
      </c>
      <c r="I76" s="1" t="n">
        <v>32</v>
      </c>
      <c r="J76" s="1" t="n">
        <f aca="false">LOG10(H76)</f>
        <v>3.20411998265592</v>
      </c>
      <c r="K76" s="1" t="n">
        <f aca="false">LOG10(I76)</f>
        <v>1.50514997831991</v>
      </c>
      <c r="L76" s="1" t="n">
        <f aca="false">(J76-K76)</f>
        <v>1.69897000433602</v>
      </c>
      <c r="M76" s="1" t="n">
        <f aca="false">POWER(10,J76-K76)</f>
        <v>50</v>
      </c>
      <c r="N76" s="1" t="s">
        <v>304</v>
      </c>
    </row>
    <row r="77" customFormat="false" ht="15.75" hidden="false" customHeight="false" outlineLevel="0" collapsed="false">
      <c r="A77" s="1" t="s">
        <v>305</v>
      </c>
      <c r="B77" s="2" t="s">
        <v>306</v>
      </c>
      <c r="C77" s="2" t="s">
        <v>85</v>
      </c>
      <c r="D77" s="2" t="s">
        <v>17</v>
      </c>
      <c r="E77" s="2" t="s">
        <v>18</v>
      </c>
      <c r="H77" s="1" t="n">
        <v>1000000</v>
      </c>
      <c r="I77" s="1" t="n">
        <v>2600</v>
      </c>
      <c r="J77" s="1" t="n">
        <f aca="false">LOG10(H77)</f>
        <v>6</v>
      </c>
      <c r="K77" s="3" t="n">
        <f aca="false">LOG10(I77)</f>
        <v>3.41497334797082</v>
      </c>
      <c r="L77" s="1" t="n">
        <f aca="false">(J77-K77)</f>
        <v>2.58502665202918</v>
      </c>
      <c r="M77" s="1" t="n">
        <f aca="false">POWER(10,J77-K77)</f>
        <v>384.615384615385</v>
      </c>
      <c r="N77" s="1" t="s">
        <v>307</v>
      </c>
    </row>
    <row r="78" customFormat="false" ht="15.75" hidden="false" customHeight="false" outlineLevel="0" collapsed="false">
      <c r="A78" s="1" t="s">
        <v>308</v>
      </c>
      <c r="B78" s="2" t="s">
        <v>273</v>
      </c>
      <c r="C78" s="2" t="s">
        <v>309</v>
      </c>
      <c r="D78" s="2" t="s">
        <v>17</v>
      </c>
      <c r="E78" s="2" t="s">
        <v>18</v>
      </c>
      <c r="F78" s="1" t="n">
        <v>400000</v>
      </c>
      <c r="G78" s="1" t="n">
        <v>500000</v>
      </c>
      <c r="H78" s="3" t="n">
        <f aca="false">AVERAGE(F78:G78)</f>
        <v>450000</v>
      </c>
      <c r="I78" s="1" t="n">
        <v>1021</v>
      </c>
      <c r="J78" s="3" t="n">
        <f aca="false">LOG10(H78)</f>
        <v>5.65321251377534</v>
      </c>
      <c r="K78" s="3" t="n">
        <f aca="false">LOG10(I78)</f>
        <v>3.00902574208691</v>
      </c>
      <c r="L78" s="1" t="n">
        <f aca="false">(J78-K78)</f>
        <v>2.64418677168843</v>
      </c>
      <c r="M78" s="1" t="n">
        <f aca="false">POWER(10,J78-K78)</f>
        <v>440.744368266406</v>
      </c>
      <c r="N78" s="7" t="s">
        <v>310</v>
      </c>
    </row>
    <row r="79" customFormat="false" ht="15.75" hidden="false" customHeight="false" outlineLevel="0" collapsed="false">
      <c r="A79" s="1" t="s">
        <v>311</v>
      </c>
      <c r="B79" s="2" t="s">
        <v>312</v>
      </c>
      <c r="C79" s="2" t="s">
        <v>313</v>
      </c>
      <c r="D79" s="2" t="s">
        <v>17</v>
      </c>
      <c r="E79" s="2" t="s">
        <v>27</v>
      </c>
      <c r="F79" s="1"/>
      <c r="G79" s="1"/>
      <c r="H79" s="1" t="n">
        <v>33131</v>
      </c>
      <c r="I79" s="11" t="n">
        <v>582</v>
      </c>
      <c r="J79" s="3" t="n">
        <f aca="false">LOG10(H79)</f>
        <v>4.52023454448225</v>
      </c>
      <c r="K79" s="3" t="n">
        <f aca="false">LOG10(I79)</f>
        <v>2.76492298464989</v>
      </c>
      <c r="L79" s="1" t="n">
        <f aca="false">(J79-K79)</f>
        <v>1.75531155983236</v>
      </c>
      <c r="M79" s="1" t="n">
        <f aca="false">POWER(10,J79-K79)</f>
        <v>56.9261168384879</v>
      </c>
      <c r="N79" s="1" t="s">
        <v>314</v>
      </c>
    </row>
    <row r="80" customFormat="false" ht="15.75" hidden="false" customHeight="false" outlineLevel="0" collapsed="false">
      <c r="A80" s="1" t="s">
        <v>315</v>
      </c>
      <c r="B80" s="2" t="s">
        <v>316</v>
      </c>
      <c r="C80" s="2" t="s">
        <v>317</v>
      </c>
      <c r="D80" s="2" t="s">
        <v>17</v>
      </c>
      <c r="E80" s="2" t="s">
        <v>18</v>
      </c>
      <c r="F80" s="1" t="n">
        <v>70000</v>
      </c>
      <c r="G80" s="1" t="n">
        <v>120000</v>
      </c>
      <c r="H80" s="1" t="n">
        <f aca="false">AVERAGE(F80:G80)</f>
        <v>95000</v>
      </c>
      <c r="I80" s="1" t="n">
        <v>750</v>
      </c>
      <c r="J80" s="1" t="n">
        <f aca="false">LOG10(H80)</f>
        <v>4.97772360528885</v>
      </c>
      <c r="K80" s="1" t="n">
        <f aca="false">LOG10(I80)</f>
        <v>2.8750612633917</v>
      </c>
      <c r="L80" s="1" t="n">
        <f aca="false">(J80-K80)</f>
        <v>2.10266234189715</v>
      </c>
      <c r="M80" s="1" t="n">
        <f aca="false">POWER(10,J80-K80)</f>
        <v>126.666666666667</v>
      </c>
      <c r="N80" s="1" t="s">
        <v>318</v>
      </c>
    </row>
    <row r="81" customFormat="false" ht="15.75" hidden="false" customHeight="false" outlineLevel="0" collapsed="false">
      <c r="A81" s="1" t="s">
        <v>319</v>
      </c>
      <c r="B81" s="2" t="s">
        <v>77</v>
      </c>
      <c r="C81" s="2" t="s">
        <v>71</v>
      </c>
      <c r="D81" s="2" t="s">
        <v>17</v>
      </c>
      <c r="E81" s="2" t="s">
        <v>18</v>
      </c>
      <c r="F81" s="1" t="n">
        <v>168000</v>
      </c>
      <c r="G81" s="1" t="n">
        <v>336000</v>
      </c>
      <c r="H81" s="1" t="n">
        <f aca="false">AVERAGE(F81,G81)</f>
        <v>252000</v>
      </c>
      <c r="I81" s="1" t="n">
        <v>1680</v>
      </c>
      <c r="J81" s="3" t="n">
        <f aca="false">LOG10(H81)</f>
        <v>5.40140054078154</v>
      </c>
      <c r="K81" s="3" t="n">
        <f aca="false">LOG10(I81)</f>
        <v>3.22530928172586</v>
      </c>
      <c r="L81" s="1" t="n">
        <f aca="false">(J81-K81)</f>
        <v>2.17609125905568</v>
      </c>
      <c r="M81" s="1" t="n">
        <f aca="false">POWER(10,J81-K81)</f>
        <v>150</v>
      </c>
      <c r="N81" s="1" t="s">
        <v>320</v>
      </c>
    </row>
    <row r="82" customFormat="false" ht="15.75" hidden="false" customHeight="false" outlineLevel="0" collapsed="false">
      <c r="A82" s="1" t="s">
        <v>321</v>
      </c>
      <c r="B82" s="2" t="s">
        <v>322</v>
      </c>
      <c r="C82" s="2" t="s">
        <v>323</v>
      </c>
      <c r="D82" s="2" t="s">
        <v>17</v>
      </c>
      <c r="E82" s="2" t="s">
        <v>18</v>
      </c>
      <c r="H82" s="1" t="n">
        <v>50000</v>
      </c>
      <c r="I82" s="1" t="n">
        <v>200</v>
      </c>
      <c r="J82" s="3" t="n">
        <f aca="false">LOG10(H82)</f>
        <v>4.69897000433602</v>
      </c>
      <c r="K82" s="3" t="n">
        <f aca="false">LOG10(I82)</f>
        <v>2.30102999566398</v>
      </c>
      <c r="L82" s="1" t="n">
        <f aca="false">(J82-K82)</f>
        <v>2.39794000867204</v>
      </c>
      <c r="M82" s="1" t="n">
        <f aca="false">POWER(10,J82-K82)</f>
        <v>250</v>
      </c>
      <c r="N82" s="1" t="s">
        <v>324</v>
      </c>
    </row>
    <row r="83" customFormat="false" ht="15.75" hidden="false" customHeight="false" outlineLevel="0" collapsed="false">
      <c r="A83" s="1" t="s">
        <v>325</v>
      </c>
      <c r="B83" s="2" t="s">
        <v>326</v>
      </c>
      <c r="C83" s="2" t="s">
        <v>327</v>
      </c>
      <c r="D83" s="2" t="s">
        <v>131</v>
      </c>
      <c r="E83" s="2" t="s">
        <v>27</v>
      </c>
      <c r="F83" s="1" t="n">
        <v>10000</v>
      </c>
      <c r="G83" s="1" t="n">
        <v>15000</v>
      </c>
      <c r="H83" s="3" t="n">
        <f aca="false">AVERAGE(F83,G83)</f>
        <v>12500</v>
      </c>
      <c r="I83" s="1" t="n">
        <v>400</v>
      </c>
      <c r="J83" s="3" t="n">
        <f aca="false">LOG10(H83)</f>
        <v>4.09691001300806</v>
      </c>
      <c r="K83" s="3" t="n">
        <f aca="false">LOG10(I83)</f>
        <v>2.60205999132796</v>
      </c>
      <c r="L83" s="1" t="n">
        <f aca="false">(J83-K83)</f>
        <v>1.49485002168009</v>
      </c>
      <c r="M83" s="1" t="n">
        <f aca="false">POWER(10,J83-K83)</f>
        <v>31.25</v>
      </c>
      <c r="N83" s="1" t="s">
        <v>328</v>
      </c>
    </row>
    <row r="84" customFormat="false" ht="15.75" hidden="false" customHeight="false" outlineLevel="0" collapsed="false">
      <c r="A84" s="1" t="s">
        <v>329</v>
      </c>
      <c r="B84" s="2" t="s">
        <v>330</v>
      </c>
      <c r="C84" s="2" t="s">
        <v>331</v>
      </c>
      <c r="D84" s="2" t="s">
        <v>17</v>
      </c>
      <c r="E84" s="2" t="s">
        <v>18</v>
      </c>
      <c r="F84" s="1" t="n">
        <v>10000</v>
      </c>
      <c r="G84" s="1" t="n">
        <v>30000</v>
      </c>
      <c r="H84" s="3" t="n">
        <f aca="false">AVERAGE(F84:G84)</f>
        <v>20000</v>
      </c>
      <c r="I84" s="1" t="n">
        <v>272</v>
      </c>
      <c r="J84" s="3" t="n">
        <f aca="false">LOG10(H84)</f>
        <v>4.30102999566398</v>
      </c>
      <c r="K84" s="3" t="n">
        <f aca="false">LOG10(I84)</f>
        <v>2.4345689040342</v>
      </c>
      <c r="L84" s="1" t="n">
        <f aca="false">(J84-K84)</f>
        <v>1.86646109162978</v>
      </c>
      <c r="M84" s="1" t="n">
        <f aca="false">POWER(10,J84-K84)</f>
        <v>73.5294117647059</v>
      </c>
      <c r="N84" s="1" t="s">
        <v>332</v>
      </c>
    </row>
    <row r="85" customFormat="false" ht="15.75" hidden="false" customHeight="false" outlineLevel="0" collapsed="false">
      <c r="A85" s="1" t="s">
        <v>333</v>
      </c>
      <c r="B85" s="2" t="s">
        <v>193</v>
      </c>
      <c r="C85" s="2" t="s">
        <v>334</v>
      </c>
      <c r="D85" s="2" t="s">
        <v>17</v>
      </c>
      <c r="E85" s="2" t="s">
        <v>18</v>
      </c>
      <c r="H85" s="1" t="n">
        <v>200000</v>
      </c>
      <c r="I85" s="1" t="n">
        <v>800</v>
      </c>
      <c r="J85" s="1" t="n">
        <f aca="false">LOG10(H85)</f>
        <v>5.30102999566398</v>
      </c>
      <c r="K85" s="1" t="n">
        <f aca="false">LOG10(I85)</f>
        <v>2.90308998699194</v>
      </c>
      <c r="L85" s="1" t="n">
        <f aca="false">(J85-K85)</f>
        <v>2.39794000867204</v>
      </c>
      <c r="M85" s="1" t="n">
        <f aca="false">POWER(10,J85-K85)</f>
        <v>250</v>
      </c>
      <c r="N85" s="1" t="s">
        <v>271</v>
      </c>
    </row>
    <row r="86" customFormat="false" ht="15.75" hidden="false" customHeight="false" outlineLevel="0" collapsed="false">
      <c r="A86" s="1" t="s">
        <v>335</v>
      </c>
      <c r="B86" s="2" t="s">
        <v>336</v>
      </c>
      <c r="C86" s="2" t="s">
        <v>337</v>
      </c>
      <c r="D86" s="2" t="s">
        <v>17</v>
      </c>
      <c r="E86" s="2" t="s">
        <v>18</v>
      </c>
      <c r="H86" s="1" t="n">
        <v>400000</v>
      </c>
      <c r="I86" s="1" t="n">
        <v>2200</v>
      </c>
      <c r="J86" s="1" t="n">
        <f aca="false">LOG10(H86)</f>
        <v>5.60205999132796</v>
      </c>
      <c r="K86" s="1" t="n">
        <f aca="false">LOG10(I86)</f>
        <v>3.34242268082221</v>
      </c>
      <c r="L86" s="1" t="n">
        <f aca="false">(J86-K86)</f>
        <v>2.25963731050576</v>
      </c>
      <c r="M86" s="1" t="n">
        <f aca="false">POWER(10,J86-K86)</f>
        <v>181.818181818182</v>
      </c>
      <c r="N86" s="1" t="s">
        <v>338</v>
      </c>
    </row>
    <row r="87" customFormat="false" ht="15.75" hidden="false" customHeight="false" outlineLevel="0" collapsed="false">
      <c r="A87" s="4" t="s">
        <v>339</v>
      </c>
      <c r="B87" s="5" t="s">
        <v>340</v>
      </c>
      <c r="C87" s="5" t="s">
        <v>341</v>
      </c>
      <c r="D87" s="5" t="s">
        <v>17</v>
      </c>
      <c r="E87" s="5" t="s">
        <v>27</v>
      </c>
      <c r="F87" s="4" t="n">
        <v>25000</v>
      </c>
      <c r="G87" s="4" t="n">
        <v>40000</v>
      </c>
      <c r="H87" s="3" t="n">
        <f aca="false">AVERAGE(F87:G87)</f>
        <v>32500</v>
      </c>
      <c r="I87" s="4" t="n">
        <v>219</v>
      </c>
      <c r="J87" s="3" t="n">
        <f aca="false">LOG10(H87)</f>
        <v>4.51188336097887</v>
      </c>
      <c r="K87" s="3" t="n">
        <f aca="false">LOG10(I87)</f>
        <v>2.34044411484012</v>
      </c>
      <c r="L87" s="1" t="n">
        <f aca="false">(J87-K87)</f>
        <v>2.17143924613876</v>
      </c>
      <c r="M87" s="1" t="n">
        <f aca="false">POWER(10,J87-K87)</f>
        <v>148.401826484018</v>
      </c>
      <c r="N87" s="4" t="s">
        <v>342</v>
      </c>
      <c r="O87" s="6"/>
      <c r="P87" s="6"/>
      <c r="Q87" s="6"/>
      <c r="R87" s="6"/>
      <c r="S87" s="6"/>
      <c r="T87" s="6"/>
      <c r="U87" s="6"/>
      <c r="V87" s="6"/>
      <c r="W87" s="6"/>
      <c r="X87" s="6"/>
      <c r="Y87" s="6"/>
      <c r="Z87" s="6"/>
      <c r="AA87" s="6"/>
      <c r="AB87" s="6"/>
      <c r="AC87" s="6"/>
      <c r="AD87" s="6"/>
      <c r="AE87" s="6"/>
      <c r="AF87" s="6"/>
      <c r="AG87" s="6"/>
      <c r="AH87" s="6"/>
      <c r="AI87" s="6"/>
    </row>
    <row r="88" customFormat="false" ht="15.75" hidden="false" customHeight="false" outlineLevel="0" collapsed="false">
      <c r="A88" s="1" t="s">
        <v>343</v>
      </c>
      <c r="B88" s="2" t="s">
        <v>344</v>
      </c>
      <c r="C88" s="2" t="s">
        <v>345</v>
      </c>
      <c r="D88" s="2" t="s">
        <v>174</v>
      </c>
      <c r="E88" s="2" t="s">
        <v>18</v>
      </c>
      <c r="F88" s="1" t="n">
        <v>250000</v>
      </c>
      <c r="G88" s="1" t="n">
        <v>300000</v>
      </c>
      <c r="H88" s="1" t="n">
        <f aca="false">AVERAGE(F88,G88)</f>
        <v>275000</v>
      </c>
      <c r="I88" s="1" t="n">
        <v>1800</v>
      </c>
      <c r="J88" s="3" t="n">
        <f aca="false">LOG10(H88)</f>
        <v>5.43933269383026</v>
      </c>
      <c r="K88" s="3" t="n">
        <f aca="false">LOG10(I88)</f>
        <v>3.25527250510331</v>
      </c>
      <c r="L88" s="1" t="n">
        <f aca="false">(J88-K88)</f>
        <v>2.18406018872696</v>
      </c>
      <c r="M88" s="1" t="n">
        <f aca="false">POWER(10,J88-K88)</f>
        <v>152.777777777778</v>
      </c>
      <c r="N88" s="1" t="s">
        <v>346</v>
      </c>
    </row>
    <row r="89" customFormat="false" ht="15.75" hidden="false" customHeight="false" outlineLevel="0" collapsed="false">
      <c r="A89" s="1" t="s">
        <v>347</v>
      </c>
      <c r="B89" s="2" t="s">
        <v>348</v>
      </c>
      <c r="C89" s="2" t="s">
        <v>347</v>
      </c>
      <c r="D89" s="2" t="s">
        <v>17</v>
      </c>
      <c r="E89" s="2" t="s">
        <v>27</v>
      </c>
      <c r="H89" s="1" t="n">
        <v>15000</v>
      </c>
      <c r="I89" s="1" t="n">
        <v>300</v>
      </c>
      <c r="J89" s="3" t="n">
        <f aca="false">LOG10(H89)</f>
        <v>4.17609125905568</v>
      </c>
      <c r="K89" s="3" t="n">
        <f aca="false">LOG10(I89)</f>
        <v>2.47712125471966</v>
      </c>
      <c r="L89" s="1" t="n">
        <f aca="false">(J89-K89)</f>
        <v>1.69897000433602</v>
      </c>
      <c r="M89" s="1" t="n">
        <f aca="false">POWER(10,J89-K89)</f>
        <v>50</v>
      </c>
      <c r="N89" s="1" t="s">
        <v>349</v>
      </c>
    </row>
    <row r="90" customFormat="false" ht="15.75" hidden="false" customHeight="false" outlineLevel="0" collapsed="false">
      <c r="A90" s="1" t="s">
        <v>350</v>
      </c>
      <c r="B90" s="2" t="s">
        <v>351</v>
      </c>
      <c r="C90" s="2" t="s">
        <v>352</v>
      </c>
      <c r="D90" s="2" t="s">
        <v>17</v>
      </c>
      <c r="E90" s="2" t="s">
        <v>18</v>
      </c>
      <c r="F90" s="1" t="n">
        <v>25000</v>
      </c>
      <c r="G90" s="1" t="n">
        <v>40000</v>
      </c>
      <c r="H90" s="1" t="n">
        <f aca="false">AVERAGE(F90,G90)</f>
        <v>32500</v>
      </c>
      <c r="I90" s="1" t="n">
        <v>285</v>
      </c>
      <c r="J90" s="1" t="n">
        <f aca="false">LOG10(H90)</f>
        <v>4.51188336097887</v>
      </c>
      <c r="K90" s="1" t="n">
        <f aca="false">LOG10(I90)</f>
        <v>2.45484486000851</v>
      </c>
      <c r="L90" s="1" t="n">
        <f aca="false">(J90-K90)</f>
        <v>2.05703850097036</v>
      </c>
      <c r="M90" s="1" t="n">
        <f aca="false">POWER(10,J90-K90)</f>
        <v>114.035087719298</v>
      </c>
      <c r="N90" s="1" t="s">
        <v>353</v>
      </c>
    </row>
    <row r="91" customFormat="false" ht="15.75" hidden="false" customHeight="false" outlineLevel="0" collapsed="false">
      <c r="A91" s="1" t="s">
        <v>354</v>
      </c>
      <c r="B91" s="2" t="s">
        <v>355</v>
      </c>
      <c r="C91" s="2" t="s">
        <v>356</v>
      </c>
      <c r="D91" s="2" t="s">
        <v>17</v>
      </c>
      <c r="E91" s="2" t="s">
        <v>18</v>
      </c>
      <c r="F91" s="1" t="n">
        <v>30000</v>
      </c>
      <c r="G91" s="1" t="n">
        <v>60000</v>
      </c>
      <c r="H91" s="1" t="n">
        <f aca="false">AVERAGE(F91,G91)</f>
        <v>45000</v>
      </c>
      <c r="I91" s="1" t="n">
        <v>427</v>
      </c>
      <c r="J91" s="1" t="n">
        <f aca="false">LOG10(H91)</f>
        <v>4.65321251377534</v>
      </c>
      <c r="K91" s="1" t="n">
        <f aca="false">LOG10(I91)</f>
        <v>2.63042787502502</v>
      </c>
      <c r="L91" s="1" t="n">
        <f aca="false">(J91-K91)</f>
        <v>2.02278463875032</v>
      </c>
      <c r="M91" s="1" t="n">
        <f aca="false">POWER(10,J91-K91)</f>
        <v>105.386416861827</v>
      </c>
      <c r="N91" s="1" t="s">
        <v>357</v>
      </c>
    </row>
    <row r="92" customFormat="false" ht="15.75" hidden="false" customHeight="false" outlineLevel="0" collapsed="false">
      <c r="A92" s="1" t="s">
        <v>358</v>
      </c>
      <c r="B92" s="2" t="s">
        <v>359</v>
      </c>
      <c r="C92" s="2" t="s">
        <v>360</v>
      </c>
      <c r="D92" s="2" t="s">
        <v>17</v>
      </c>
      <c r="E92" s="2" t="s">
        <v>18</v>
      </c>
      <c r="F92" s="1" t="n">
        <v>650000</v>
      </c>
      <c r="G92" s="1" t="n">
        <v>1000000</v>
      </c>
      <c r="H92" s="1" t="n">
        <f aca="false">AVERAGE(F92,G92)</f>
        <v>825000</v>
      </c>
      <c r="I92" s="1" t="n">
        <v>1783</v>
      </c>
      <c r="J92" s="1" t="n">
        <f aca="false">LOG10(H92)</f>
        <v>5.91645394854993</v>
      </c>
      <c r="K92" s="1" t="n">
        <f aca="false">LOG10(I92)</f>
        <v>3.25115134317535</v>
      </c>
      <c r="L92" s="1" t="n">
        <f aca="false">(J92-K92)</f>
        <v>2.66530260537457</v>
      </c>
      <c r="M92" s="1" t="n">
        <f aca="false">POWER(10,J92-K92)</f>
        <v>462.703309029726</v>
      </c>
      <c r="N92" s="1" t="s">
        <v>361</v>
      </c>
    </row>
    <row r="93" customFormat="false" ht="15.75" hidden="false" customHeight="false" outlineLevel="0" collapsed="false">
      <c r="A93" s="1" t="s">
        <v>362</v>
      </c>
      <c r="B93" s="2" t="s">
        <v>363</v>
      </c>
      <c r="C93" s="2" t="s">
        <v>364</v>
      </c>
      <c r="D93" s="2" t="s">
        <v>17</v>
      </c>
      <c r="E93" s="2" t="s">
        <v>18</v>
      </c>
      <c r="F93" s="1" t="n">
        <v>300000</v>
      </c>
      <c r="G93" s="1" t="n">
        <v>700000</v>
      </c>
      <c r="H93" s="1" t="n">
        <f aca="false">AVERAGE(F93,G93)</f>
        <v>500000</v>
      </c>
      <c r="I93" s="1" t="n">
        <v>1372</v>
      </c>
      <c r="J93" s="1" t="n">
        <f aca="false">LOG10(H93)</f>
        <v>5.69897000433602</v>
      </c>
      <c r="K93" s="1" t="n">
        <f aca="false">LOG10(I93)</f>
        <v>3.13735411137073</v>
      </c>
      <c r="L93" s="1" t="n">
        <f aca="false">(J93-K93)</f>
        <v>2.56161589296529</v>
      </c>
      <c r="M93" s="1" t="n">
        <f aca="false">POWER(10,J93-K93)</f>
        <v>364.431486880466</v>
      </c>
      <c r="N93" s="1" t="s">
        <v>365</v>
      </c>
    </row>
    <row r="94" customFormat="false" ht="15.75" hidden="false" customHeight="false" outlineLevel="0" collapsed="false">
      <c r="A94" s="1" t="s">
        <v>366</v>
      </c>
      <c r="B94" s="2" t="s">
        <v>367</v>
      </c>
      <c r="C94" s="2" t="s">
        <v>368</v>
      </c>
      <c r="D94" s="2" t="s">
        <v>17</v>
      </c>
      <c r="E94" s="2" t="s">
        <v>18</v>
      </c>
      <c r="F94" s="1"/>
      <c r="G94" s="1"/>
      <c r="H94" s="1" t="n">
        <v>150000</v>
      </c>
      <c r="I94" s="1" t="n">
        <v>510</v>
      </c>
      <c r="J94" s="3" t="n">
        <f aca="false">LOG10(H94)</f>
        <v>5.17609125905568</v>
      </c>
      <c r="K94" s="3" t="n">
        <f aca="false">LOG10(I94)</f>
        <v>2.70757017609794</v>
      </c>
      <c r="L94" s="1" t="n">
        <f aca="false">(J94-K94)</f>
        <v>2.46852108295774</v>
      </c>
      <c r="M94" s="1" t="n">
        <f aca="false">POWER(10,J94-K94)</f>
        <v>294.117647058824</v>
      </c>
      <c r="N94" s="1" t="s">
        <v>369</v>
      </c>
    </row>
    <row r="95" customFormat="false" ht="15.75" hidden="false" customHeight="false" outlineLevel="0" collapsed="false">
      <c r="A95" s="4" t="s">
        <v>370</v>
      </c>
      <c r="B95" s="5" t="s">
        <v>371</v>
      </c>
      <c r="C95" s="5" t="s">
        <v>71</v>
      </c>
      <c r="D95" s="5" t="s">
        <v>17</v>
      </c>
      <c r="E95" s="2" t="s">
        <v>18</v>
      </c>
      <c r="F95" s="6"/>
      <c r="G95" s="6"/>
      <c r="H95" s="4" t="n">
        <v>1000000</v>
      </c>
      <c r="I95" s="4" t="n">
        <v>6800</v>
      </c>
      <c r="J95" s="3" t="n">
        <f aca="false">LOG10(H95)</f>
        <v>6</v>
      </c>
      <c r="K95" s="3" t="n">
        <f aca="false">LOG10(I95)</f>
        <v>3.83250891270624</v>
      </c>
      <c r="L95" s="1" t="n">
        <f aca="false">(J95-K95)</f>
        <v>2.16749108729376</v>
      </c>
      <c r="M95" s="1" t="n">
        <f aca="false">POWER(10,J95-K95)</f>
        <v>147.058823529412</v>
      </c>
      <c r="N95" s="4" t="s">
        <v>372</v>
      </c>
      <c r="O95" s="6"/>
      <c r="P95" s="6"/>
      <c r="Q95" s="6"/>
      <c r="R95" s="6"/>
      <c r="S95" s="6"/>
      <c r="T95" s="6"/>
      <c r="U95" s="6"/>
      <c r="V95" s="6"/>
      <c r="W95" s="6"/>
      <c r="X95" s="6"/>
      <c r="Y95" s="6"/>
      <c r="Z95" s="6"/>
      <c r="AA95" s="6"/>
      <c r="AB95" s="6"/>
      <c r="AC95" s="6"/>
      <c r="AD95" s="6"/>
      <c r="AE95" s="6"/>
      <c r="AF95" s="6"/>
      <c r="AG95" s="6"/>
      <c r="AH95" s="6"/>
      <c r="AI95" s="6"/>
    </row>
    <row r="96" customFormat="false" ht="15.75" hidden="false" customHeight="false" outlineLevel="0" collapsed="false">
      <c r="A96" s="1" t="s">
        <v>373</v>
      </c>
      <c r="B96" s="2" t="s">
        <v>374</v>
      </c>
      <c r="C96" s="2" t="s">
        <v>373</v>
      </c>
      <c r="D96" s="2" t="s">
        <v>106</v>
      </c>
      <c r="E96" s="2" t="s">
        <v>18</v>
      </c>
      <c r="H96" s="1" t="n">
        <v>1000</v>
      </c>
      <c r="I96" s="1" t="n">
        <v>45</v>
      </c>
      <c r="J96" s="3" t="n">
        <f aca="false">LOG10(H96)</f>
        <v>3</v>
      </c>
      <c r="K96" s="3" t="n">
        <f aca="false">LOG10(I96)</f>
        <v>1.65321251377534</v>
      </c>
      <c r="L96" s="1" t="n">
        <f aca="false">(J96-K96)</f>
        <v>1.34678748622466</v>
      </c>
      <c r="M96" s="1" t="n">
        <f aca="false">POWER(10,J96-K96)</f>
        <v>22.2222222222222</v>
      </c>
      <c r="N96" s="1" t="s">
        <v>375</v>
      </c>
    </row>
    <row r="97" customFormat="false" ht="15.75" hidden="false" customHeight="false" outlineLevel="0" collapsed="false">
      <c r="A97" s="1" t="s">
        <v>376</v>
      </c>
      <c r="B97" s="2" t="s">
        <v>377</v>
      </c>
      <c r="C97" s="2" t="s">
        <v>378</v>
      </c>
      <c r="D97" s="2" t="s">
        <v>118</v>
      </c>
      <c r="E97" s="2" t="s">
        <v>27</v>
      </c>
      <c r="F97" s="1" t="n">
        <v>3500</v>
      </c>
      <c r="G97" s="1" t="n">
        <v>7500</v>
      </c>
      <c r="H97" s="1" t="n">
        <f aca="false">AVERAGE(F97:G97)</f>
        <v>5500</v>
      </c>
      <c r="I97" s="1" t="n">
        <v>53</v>
      </c>
      <c r="J97" s="3" t="n">
        <f aca="false">LOG10(H97)</f>
        <v>3.74036268949424</v>
      </c>
      <c r="K97" s="3" t="n">
        <f aca="false">LOG10(I97)</f>
        <v>1.72427586960079</v>
      </c>
      <c r="L97" s="1" t="n">
        <f aca="false">(J97-K97)</f>
        <v>2.01608681989345</v>
      </c>
      <c r="M97" s="1" t="n">
        <f aca="false">POWER(10,J97-K97)</f>
        <v>103.77358490566</v>
      </c>
      <c r="N97" s="1" t="s">
        <v>379</v>
      </c>
    </row>
    <row r="98" customFormat="false" ht="15.75" hidden="false" customHeight="false" outlineLevel="0" collapsed="false">
      <c r="A98" s="1" t="s">
        <v>380</v>
      </c>
      <c r="B98" s="2" t="s">
        <v>381</v>
      </c>
      <c r="C98" s="2" t="s">
        <v>380</v>
      </c>
      <c r="D98" s="2" t="s">
        <v>118</v>
      </c>
      <c r="E98" s="2" t="s">
        <v>27</v>
      </c>
      <c r="F98" s="1" t="n">
        <v>8000</v>
      </c>
      <c r="G98" s="1" t="n">
        <v>10000</v>
      </c>
      <c r="H98" s="4" t="n">
        <f aca="false">AVERAGE(F98:G98)</f>
        <v>9000</v>
      </c>
      <c r="I98" s="1" t="n">
        <v>350</v>
      </c>
      <c r="J98" s="3" t="n">
        <f aca="false">LOG10(H98)</f>
        <v>3.95424250943932</v>
      </c>
      <c r="K98" s="3" t="n">
        <f aca="false">LOG10(I98)</f>
        <v>2.54406804435028</v>
      </c>
      <c r="L98" s="1" t="n">
        <f aca="false">(J98-K98)</f>
        <v>1.41017446508905</v>
      </c>
      <c r="M98" s="1" t="n">
        <f aca="false">POWER(10,J98-K98)</f>
        <v>25.7142857142857</v>
      </c>
      <c r="N98" s="1" t="s">
        <v>382</v>
      </c>
    </row>
    <row r="99" customFormat="false" ht="15.75" hidden="false" customHeight="false" outlineLevel="0" collapsed="false">
      <c r="A99" s="1" t="s">
        <v>383</v>
      </c>
      <c r="B99" s="2" t="s">
        <v>384</v>
      </c>
      <c r="C99" s="2" t="s">
        <v>35</v>
      </c>
      <c r="D99" s="2" t="s">
        <v>17</v>
      </c>
      <c r="E99" s="2" t="s">
        <v>18</v>
      </c>
      <c r="F99" s="1" t="n">
        <v>50000</v>
      </c>
      <c r="G99" s="1" t="n">
        <v>100000</v>
      </c>
      <c r="H99" s="1" t="n">
        <f aca="false">AVERAGE(F99,G99)</f>
        <v>75000</v>
      </c>
      <c r="I99" s="1" t="n">
        <v>550</v>
      </c>
      <c r="J99" s="3" t="n">
        <f aca="false">LOG10(H99)</f>
        <v>4.8750612633917</v>
      </c>
      <c r="K99" s="3" t="n">
        <f aca="false">LOG10(I99)</f>
        <v>2.74036268949424</v>
      </c>
      <c r="L99" s="1" t="n">
        <f aca="false">(J99-K99)</f>
        <v>2.13469857389746</v>
      </c>
      <c r="M99" s="1" t="n">
        <f aca="false">POWER(10,J99-K99)</f>
        <v>136.363636363636</v>
      </c>
      <c r="N99" s="1" t="s">
        <v>385</v>
      </c>
    </row>
    <row r="100" customFormat="false" ht="15.75" hidden="false" customHeight="false" outlineLevel="0" collapsed="false">
      <c r="A100" s="1" t="s">
        <v>386</v>
      </c>
      <c r="B100" s="2" t="s">
        <v>164</v>
      </c>
      <c r="C100" s="2" t="s">
        <v>387</v>
      </c>
      <c r="D100" s="2" t="s">
        <v>17</v>
      </c>
      <c r="E100" s="2" t="s">
        <v>27</v>
      </c>
      <c r="F100" s="1" t="n">
        <v>40000</v>
      </c>
      <c r="G100" s="1" t="n">
        <v>50000</v>
      </c>
      <c r="H100" s="1" t="n">
        <f aca="false">AVERAGE(F100,G100)</f>
        <v>45000</v>
      </c>
      <c r="I100" s="1" t="n">
        <v>300</v>
      </c>
      <c r="J100" s="1" t="n">
        <f aca="false">LOG10(H100)</f>
        <v>4.65321251377534</v>
      </c>
      <c r="K100" s="3" t="n">
        <f aca="false">LOG10(I100)</f>
        <v>2.47712125471966</v>
      </c>
      <c r="L100" s="1" t="n">
        <f aca="false">(J100-K100)</f>
        <v>2.17609125905568</v>
      </c>
      <c r="M100" s="1" t="n">
        <f aca="false">POWER(10,J100-K100)</f>
        <v>150</v>
      </c>
      <c r="N100" s="7" t="s">
        <v>388</v>
      </c>
    </row>
    <row r="101" customFormat="false" ht="15.75" hidden="false" customHeight="false" outlineLevel="0" collapsed="false">
      <c r="A101" s="1" t="s">
        <v>389</v>
      </c>
      <c r="B101" s="2" t="s">
        <v>390</v>
      </c>
      <c r="C101" s="2" t="s">
        <v>391</v>
      </c>
      <c r="D101" s="2" t="s">
        <v>131</v>
      </c>
      <c r="E101" s="2" t="s">
        <v>27</v>
      </c>
      <c r="F101" s="1" t="n">
        <v>192486</v>
      </c>
      <c r="G101" s="1" t="n">
        <v>333600</v>
      </c>
      <c r="H101" s="3" t="n">
        <f aca="false">AVERAGE(F101:G101)</f>
        <v>263043</v>
      </c>
      <c r="I101" s="1" t="n">
        <f aca="false">500+280+350</f>
        <v>1130</v>
      </c>
      <c r="J101" s="3" t="n">
        <f aca="false">LOG10(H101)</f>
        <v>5.42002674900783</v>
      </c>
      <c r="K101" s="3" t="n">
        <f aca="false">LOG10(I101)</f>
        <v>3.05307844348342</v>
      </c>
      <c r="L101" s="1" t="n">
        <f aca="false">(J101-K101)</f>
        <v>2.36694830552441</v>
      </c>
      <c r="M101" s="1" t="n">
        <f aca="false">POWER(10,J101-K101)</f>
        <v>232.781415929203</v>
      </c>
      <c r="N101" s="7" t="s">
        <v>392</v>
      </c>
    </row>
    <row r="102" customFormat="false" ht="15.75" hidden="false" customHeight="false" outlineLevel="0" collapsed="false">
      <c r="A102" s="1" t="s">
        <v>393</v>
      </c>
      <c r="B102" s="2" t="s">
        <v>394</v>
      </c>
      <c r="C102" s="2" t="s">
        <v>395</v>
      </c>
      <c r="D102" s="2" t="s">
        <v>17</v>
      </c>
      <c r="E102" s="2" t="s">
        <v>27</v>
      </c>
      <c r="F102" s="1" t="n">
        <v>15000</v>
      </c>
      <c r="G102" s="1" t="n">
        <v>24000</v>
      </c>
      <c r="H102" s="1" t="n">
        <f aca="false">AVERAGE(F102,G102)</f>
        <v>19500</v>
      </c>
      <c r="I102" s="1" t="n">
        <v>110</v>
      </c>
      <c r="J102" s="1" t="n">
        <f aca="false">LOG10(H102)</f>
        <v>4.29003461136252</v>
      </c>
      <c r="K102" s="3" t="n">
        <f aca="false">LOG10(I102)</f>
        <v>2.04139268515822</v>
      </c>
      <c r="L102" s="1" t="n">
        <f aca="false">(J102-K102)</f>
        <v>2.24864192620429</v>
      </c>
      <c r="M102" s="1" t="n">
        <f aca="false">POWER(10,J102-K102)</f>
        <v>177.272727272727</v>
      </c>
      <c r="N102" s="1" t="s">
        <v>396</v>
      </c>
    </row>
    <row r="103" customFormat="false" ht="15.75" hidden="false" customHeight="false" outlineLevel="0" collapsed="false">
      <c r="A103" s="1" t="s">
        <v>397</v>
      </c>
      <c r="B103" s="2" t="s">
        <v>398</v>
      </c>
      <c r="C103" s="2" t="s">
        <v>399</v>
      </c>
      <c r="D103" s="2" t="s">
        <v>17</v>
      </c>
      <c r="E103" s="2" t="s">
        <v>18</v>
      </c>
      <c r="F103" s="1" t="n">
        <v>80000</v>
      </c>
      <c r="G103" s="1" t="n">
        <v>120000</v>
      </c>
      <c r="H103" s="3" t="n">
        <f aca="false">AVERAGE(F103:G103)</f>
        <v>100000</v>
      </c>
      <c r="I103" s="1" t="n">
        <v>777</v>
      </c>
      <c r="J103" s="3" t="n">
        <f aca="false">LOG10(H103)</f>
        <v>5</v>
      </c>
      <c r="K103" s="3" t="n">
        <f aca="false">LOG10(I103)</f>
        <v>2.89042101880091</v>
      </c>
      <c r="L103" s="1" t="n">
        <f aca="false">(J103-K103)</f>
        <v>2.10957898119909</v>
      </c>
      <c r="M103" s="1" t="n">
        <f aca="false">POWER(10,J103-K103)</f>
        <v>128.700128700129</v>
      </c>
      <c r="N103" s="1" t="s">
        <v>400</v>
      </c>
    </row>
    <row r="104" customFormat="false" ht="15.75" hidden="false" customHeight="false" outlineLevel="0" collapsed="false">
      <c r="A104" s="1" t="s">
        <v>401</v>
      </c>
      <c r="B104" s="2" t="s">
        <v>402</v>
      </c>
      <c r="C104" s="2" t="s">
        <v>403</v>
      </c>
      <c r="D104" s="2" t="s">
        <v>252</v>
      </c>
      <c r="E104" s="2" t="s">
        <v>18</v>
      </c>
      <c r="H104" s="1" t="n">
        <v>212500</v>
      </c>
      <c r="I104" s="1" t="n">
        <v>1350</v>
      </c>
      <c r="J104" s="1" t="n">
        <f aca="false">LOG10(H104)</f>
        <v>5.32735893438633</v>
      </c>
      <c r="K104" s="1" t="n">
        <f aca="false">LOG10(I104)</f>
        <v>3.13033376849501</v>
      </c>
      <c r="L104" s="1" t="n">
        <f aca="false">(J104-K104)</f>
        <v>2.19702516589132</v>
      </c>
      <c r="M104" s="1" t="n">
        <f aca="false">POWER(10,J104-K104)</f>
        <v>157.407407407407</v>
      </c>
      <c r="N104" s="1" t="s">
        <v>404</v>
      </c>
    </row>
    <row r="105" customFormat="false" ht="15.75" hidden="false" customHeight="false" outlineLevel="0" collapsed="false">
      <c r="A105" s="1" t="s">
        <v>405</v>
      </c>
      <c r="B105" s="2" t="s">
        <v>406</v>
      </c>
      <c r="C105" s="2" t="s">
        <v>405</v>
      </c>
      <c r="D105" s="2" t="s">
        <v>118</v>
      </c>
      <c r="E105" s="2" t="s">
        <v>18</v>
      </c>
      <c r="F105" s="1" t="n">
        <v>26000</v>
      </c>
      <c r="G105" s="1" t="n">
        <v>140000</v>
      </c>
      <c r="H105" s="3" t="n">
        <f aca="false">(F105+G105)/2</f>
        <v>83000</v>
      </c>
      <c r="I105" s="1" t="n">
        <v>1811</v>
      </c>
      <c r="J105" s="1" t="n">
        <f aca="false">LOG10(H105)</f>
        <v>4.91907809237607</v>
      </c>
      <c r="K105" s="1" t="n">
        <f aca="false">LOG10(I105)</f>
        <v>3.25791845031406</v>
      </c>
      <c r="L105" s="1" t="n">
        <f aca="false">(J105-K105)</f>
        <v>1.66115964206202</v>
      </c>
      <c r="M105" s="1" t="n">
        <f aca="false">POWER(10,J105-K105)</f>
        <v>45.8310325786858</v>
      </c>
      <c r="N105" s="1" t="s">
        <v>407</v>
      </c>
    </row>
    <row r="106" customFormat="false" ht="15.75" hidden="false" customHeight="false" outlineLevel="0" collapsed="false">
      <c r="A106" s="1" t="s">
        <v>408</v>
      </c>
      <c r="B106" s="2" t="s">
        <v>409</v>
      </c>
      <c r="C106" s="2" t="s">
        <v>410</v>
      </c>
      <c r="D106" s="2" t="s">
        <v>118</v>
      </c>
      <c r="E106" s="2" t="s">
        <v>27</v>
      </c>
      <c r="H106" s="1" t="n">
        <v>25000</v>
      </c>
      <c r="I106" s="1" t="n">
        <v>450</v>
      </c>
      <c r="J106" s="3" t="n">
        <f aca="false">LOG10(H106)</f>
        <v>4.39794000867204</v>
      </c>
      <c r="K106" s="3" t="n">
        <f aca="false">LOG10(I106)</f>
        <v>2.65321251377534</v>
      </c>
      <c r="L106" s="1" t="n">
        <f aca="false">(J106-K106)</f>
        <v>1.74472749489669</v>
      </c>
      <c r="M106" s="1" t="n">
        <f aca="false">POWER(10,J106-K106)</f>
        <v>55.5555555555556</v>
      </c>
      <c r="N106" s="1" t="s">
        <v>411</v>
      </c>
    </row>
    <row r="107" customFormat="false" ht="15.75" hidden="false" customHeight="false" outlineLevel="0" collapsed="false">
      <c r="A107" s="1" t="s">
        <v>412</v>
      </c>
      <c r="B107" s="2" t="s">
        <v>413</v>
      </c>
      <c r="C107" s="2" t="s">
        <v>414</v>
      </c>
      <c r="D107" s="2" t="s">
        <v>131</v>
      </c>
      <c r="E107" s="2" t="s">
        <v>18</v>
      </c>
      <c r="F107" s="1"/>
      <c r="G107" s="1" t="n">
        <v>19000</v>
      </c>
      <c r="H107" s="1" t="n">
        <f aca="false">AVERAGE(G107,F107)</f>
        <v>19000</v>
      </c>
      <c r="I107" s="1" t="n">
        <v>75</v>
      </c>
      <c r="J107" s="1" t="n">
        <f aca="false">LOG10(H107)</f>
        <v>4.27875360095283</v>
      </c>
      <c r="K107" s="3" t="n">
        <f aca="false">LOG10(I107)</f>
        <v>1.8750612633917</v>
      </c>
      <c r="L107" s="1" t="n">
        <f aca="false">(J107-K107)</f>
        <v>2.40369233756113</v>
      </c>
      <c r="M107" s="1" t="n">
        <f aca="false">POWER(10,J107-K107)</f>
        <v>253.333333333333</v>
      </c>
      <c r="N107" s="1" t="s">
        <v>415</v>
      </c>
    </row>
    <row r="108" customFormat="false" ht="15.75" hidden="false" customHeight="false" outlineLevel="0" collapsed="false">
      <c r="A108" s="2" t="s">
        <v>416</v>
      </c>
      <c r="C108" s="1" t="s">
        <v>417</v>
      </c>
      <c r="D108" s="1" t="s">
        <v>17</v>
      </c>
      <c r="E108" s="1" t="s">
        <v>27</v>
      </c>
      <c r="F108" s="1" t="n">
        <v>30000</v>
      </c>
      <c r="G108" s="1" t="n">
        <v>70860</v>
      </c>
      <c r="H108" s="10" t="n">
        <f aca="false">AVERAGE(F108:G108)</f>
        <v>50430</v>
      </c>
      <c r="I108" s="8" t="n">
        <v>350</v>
      </c>
      <c r="J108" s="3" t="n">
        <f aca="false">LOG10(H108)</f>
        <v>4.70268896815913</v>
      </c>
      <c r="K108" s="3" t="n">
        <f aca="false">LOG10(I108)</f>
        <v>2.54406804435028</v>
      </c>
      <c r="L108" s="1" t="n">
        <f aca="false">(J108-K108)</f>
        <v>2.15862092380886</v>
      </c>
      <c r="M108" s="1" t="n">
        <f aca="false">POWER(10,J108-K108)</f>
        <v>144.085714285714</v>
      </c>
      <c r="N108" s="7" t="s">
        <v>418</v>
      </c>
    </row>
    <row r="109" customFormat="false" ht="15.75" hidden="false" customHeight="false" outlineLevel="0" collapsed="false">
      <c r="A109" s="1" t="s">
        <v>419</v>
      </c>
      <c r="B109" s="2" t="s">
        <v>420</v>
      </c>
      <c r="C109" s="2" t="s">
        <v>419</v>
      </c>
      <c r="D109" s="2" t="s">
        <v>118</v>
      </c>
      <c r="E109" s="2" t="s">
        <v>27</v>
      </c>
      <c r="H109" s="1" t="n">
        <v>11300</v>
      </c>
      <c r="I109" s="1" t="n">
        <v>900</v>
      </c>
      <c r="J109" s="3" t="n">
        <f aca="false">LOG10(H109)</f>
        <v>4.05307844348342</v>
      </c>
      <c r="K109" s="3" t="n">
        <f aca="false">LOG10(I109)</f>
        <v>2.95424250943932</v>
      </c>
      <c r="L109" s="1" t="n">
        <f aca="false">(J109-K109)</f>
        <v>1.0988359340441</v>
      </c>
      <c r="M109" s="1" t="n">
        <f aca="false">POWER(10,J109-K109)</f>
        <v>12.5555555555556</v>
      </c>
      <c r="N109" s="1" t="s">
        <v>421</v>
      </c>
    </row>
    <row r="110" customFormat="false" ht="15.75" hidden="false" customHeight="false" outlineLevel="0" collapsed="false">
      <c r="A110" s="1" t="s">
        <v>422</v>
      </c>
      <c r="B110" s="2" t="s">
        <v>297</v>
      </c>
      <c r="C110" s="2" t="s">
        <v>422</v>
      </c>
      <c r="D110" s="2" t="s">
        <v>174</v>
      </c>
      <c r="E110" s="2" t="s">
        <v>18</v>
      </c>
      <c r="F110" s="1" t="n">
        <v>30000</v>
      </c>
      <c r="G110" s="1" t="n">
        <v>60000</v>
      </c>
      <c r="H110" s="3" t="n">
        <f aca="false">(F110+G110)/2</f>
        <v>45000</v>
      </c>
      <c r="I110" s="1" t="n">
        <v>385</v>
      </c>
      <c r="J110" s="1" t="n">
        <f aca="false">LOG10(H110)</f>
        <v>4.65321251377534</v>
      </c>
      <c r="K110" s="1" t="n">
        <f aca="false">LOG10(I110)</f>
        <v>2.5854607295085</v>
      </c>
      <c r="L110" s="1" t="n">
        <f aca="false">(J110-K110)</f>
        <v>2.06775178426684</v>
      </c>
      <c r="M110" s="1" t="n">
        <f aca="false">POWER(10,J110-K110)</f>
        <v>116.883116883117</v>
      </c>
      <c r="N110" s="1" t="s">
        <v>423</v>
      </c>
    </row>
    <row r="111" customFormat="false" ht="15.75" hidden="false" customHeight="false" outlineLevel="0" collapsed="false">
      <c r="A111" s="1" t="s">
        <v>424</v>
      </c>
      <c r="B111" s="2" t="s">
        <v>425</v>
      </c>
      <c r="C111" s="2" t="s">
        <v>426</v>
      </c>
      <c r="D111" s="2" t="s">
        <v>118</v>
      </c>
      <c r="E111" s="2" t="s">
        <v>27</v>
      </c>
      <c r="H111" s="1" t="n">
        <v>60000</v>
      </c>
      <c r="I111" s="1" t="n">
        <v>1600</v>
      </c>
      <c r="J111" s="1" t="n">
        <f aca="false">LOG10(H111)</f>
        <v>4.77815125038364</v>
      </c>
      <c r="K111" s="1" t="n">
        <f aca="false">LOG10(I111)</f>
        <v>3.20411998265592</v>
      </c>
      <c r="L111" s="1" t="n">
        <f aca="false">(J111-K111)</f>
        <v>1.57403126772772</v>
      </c>
      <c r="M111" s="1" t="n">
        <f aca="false">POWER(10,J111-K111)</f>
        <v>37.5</v>
      </c>
      <c r="N111" s="1" t="s">
        <v>427</v>
      </c>
    </row>
    <row r="112" customFormat="false" ht="15.75" hidden="false" customHeight="false" outlineLevel="0" collapsed="false">
      <c r="A112" s="1" t="s">
        <v>428</v>
      </c>
      <c r="B112" s="2" t="s">
        <v>429</v>
      </c>
      <c r="C112" s="2" t="s">
        <v>430</v>
      </c>
      <c r="D112" s="2" t="s">
        <v>17</v>
      </c>
      <c r="E112" s="2" t="s">
        <v>18</v>
      </c>
      <c r="F112" s="1" t="n">
        <v>20000</v>
      </c>
      <c r="G112" s="1" t="n">
        <v>30000</v>
      </c>
      <c r="H112" s="3" t="n">
        <f aca="false">AVERAGE(F112:G112)</f>
        <v>25000</v>
      </c>
      <c r="I112" s="1" t="n">
        <v>127</v>
      </c>
      <c r="J112" s="3" t="n">
        <f aca="false">LOG10(H112)</f>
        <v>4.39794000867204</v>
      </c>
      <c r="K112" s="3" t="n">
        <f aca="false">LOG10(I112)</f>
        <v>2.10380372095596</v>
      </c>
      <c r="L112" s="1" t="n">
        <f aca="false">(J112-K112)</f>
        <v>2.29413628771608</v>
      </c>
      <c r="M112" s="1" t="n">
        <f aca="false">POWER(10,J112-K112)</f>
        <v>196.850393700787</v>
      </c>
      <c r="N112" s="1" t="s">
        <v>431</v>
      </c>
    </row>
    <row r="113" customFormat="false" ht="15.75" hidden="false" customHeight="false" outlineLevel="0" collapsed="false">
      <c r="A113" s="1" t="s">
        <v>432</v>
      </c>
      <c r="B113" s="2"/>
      <c r="C113" s="2" t="s">
        <v>433</v>
      </c>
      <c r="D113" s="2" t="s">
        <v>174</v>
      </c>
      <c r="E113" s="2" t="s">
        <v>27</v>
      </c>
      <c r="F113" s="1"/>
      <c r="G113" s="1"/>
      <c r="H113" s="1" t="n">
        <v>960</v>
      </c>
      <c r="I113" s="1" t="n">
        <v>25</v>
      </c>
      <c r="J113" s="3" t="n">
        <f aca="false">LOG10(H113)</f>
        <v>2.98227123303957</v>
      </c>
      <c r="K113" s="3" t="n">
        <f aca="false">LOG10(I113)</f>
        <v>1.39794000867204</v>
      </c>
      <c r="L113" s="1" t="n">
        <f aca="false">(J113-K113)</f>
        <v>1.58433122436753</v>
      </c>
      <c r="M113" s="1" t="n">
        <f aca="false">POWER(10,J113-K113)</f>
        <v>38.4</v>
      </c>
      <c r="N113" s="1" t="s">
        <v>434</v>
      </c>
    </row>
    <row r="114" customFormat="false" ht="15.75" hidden="false" customHeight="false" outlineLevel="0" collapsed="false">
      <c r="A114" s="1" t="s">
        <v>435</v>
      </c>
      <c r="B114" s="2"/>
      <c r="C114" s="2" t="s">
        <v>436</v>
      </c>
      <c r="D114" s="2" t="s">
        <v>174</v>
      </c>
      <c r="E114" s="2" t="s">
        <v>27</v>
      </c>
      <c r="F114" s="1"/>
      <c r="G114" s="1"/>
      <c r="H114" s="1" t="n">
        <v>32000</v>
      </c>
      <c r="I114" s="1" t="n">
        <v>577</v>
      </c>
      <c r="J114" s="3" t="n">
        <f aca="false">LOG10(H114)</f>
        <v>4.50514997831991</v>
      </c>
      <c r="K114" s="3" t="n">
        <f aca="false">LOG10(I114)</f>
        <v>2.76117581315573</v>
      </c>
      <c r="L114" s="1" t="n">
        <f aca="false">(J114-K114)</f>
        <v>1.74397416516417</v>
      </c>
      <c r="M114" s="1" t="n">
        <f aca="false">POWER(10,J114-K114)</f>
        <v>55.4592720970538</v>
      </c>
      <c r="N114" s="1" t="s">
        <v>437</v>
      </c>
    </row>
    <row r="115" customFormat="false" ht="15.75" hidden="false" customHeight="false" outlineLevel="0" collapsed="false">
      <c r="A115" s="1" t="s">
        <v>438</v>
      </c>
      <c r="B115" s="2" t="s">
        <v>439</v>
      </c>
      <c r="C115" s="2" t="s">
        <v>440</v>
      </c>
      <c r="D115" s="2" t="s">
        <v>17</v>
      </c>
      <c r="E115" s="2" t="s">
        <v>18</v>
      </c>
      <c r="F115" s="3" t="n">
        <f aca="false">125*I115</f>
        <v>13500</v>
      </c>
      <c r="G115" s="1" t="n">
        <v>22300</v>
      </c>
      <c r="H115" s="3" t="n">
        <f aca="false">AVERAGE(F115,G115)</f>
        <v>17900</v>
      </c>
      <c r="I115" s="1" t="n">
        <v>108</v>
      </c>
      <c r="J115" s="3" t="n">
        <f aca="false">LOG10(H115)</f>
        <v>4.25285303097989</v>
      </c>
      <c r="K115" s="3" t="n">
        <f aca="false">LOG10(I115)</f>
        <v>2.03342375548695</v>
      </c>
      <c r="L115" s="1" t="n">
        <f aca="false">(J115-K115)</f>
        <v>2.21942927549294</v>
      </c>
      <c r="M115" s="1" t="n">
        <f aca="false">POWER(10,J115-K115)</f>
        <v>165.740740740741</v>
      </c>
      <c r="N115" s="1" t="s">
        <v>441</v>
      </c>
    </row>
    <row r="116" customFormat="false" ht="15.75" hidden="false" customHeight="false" outlineLevel="0" collapsed="false">
      <c r="A116" s="1" t="s">
        <v>442</v>
      </c>
      <c r="B116" s="2" t="s">
        <v>443</v>
      </c>
      <c r="C116" s="2" t="s">
        <v>444</v>
      </c>
      <c r="D116" s="2" t="s">
        <v>17</v>
      </c>
      <c r="E116" s="2" t="s">
        <v>18</v>
      </c>
      <c r="H116" s="1" t="n">
        <v>40000</v>
      </c>
      <c r="I116" s="1" t="n">
        <v>250</v>
      </c>
      <c r="J116" s="1" t="n">
        <f aca="false">LOG10(H116)</f>
        <v>4.60205999132796</v>
      </c>
      <c r="K116" s="1" t="n">
        <f aca="false">LOG10(I116)</f>
        <v>2.39794000867204</v>
      </c>
      <c r="L116" s="1" t="n">
        <f aca="false">(J116-K116)</f>
        <v>2.20411998265592</v>
      </c>
      <c r="M116" s="1" t="n">
        <f aca="false">POWER(10,J116-K116)</f>
        <v>160</v>
      </c>
      <c r="N116" s="1" t="s">
        <v>445</v>
      </c>
    </row>
    <row r="117" customFormat="false" ht="15.75" hidden="false" customHeight="false" outlineLevel="0" collapsed="false">
      <c r="A117" s="1" t="s">
        <v>446</v>
      </c>
      <c r="B117" s="2" t="s">
        <v>447</v>
      </c>
      <c r="C117" s="2" t="s">
        <v>448</v>
      </c>
      <c r="D117" s="2" t="s">
        <v>252</v>
      </c>
      <c r="E117" s="2" t="s">
        <v>18</v>
      </c>
      <c r="H117" s="1" t="n">
        <v>120000</v>
      </c>
      <c r="I117" s="1" t="n">
        <v>700</v>
      </c>
      <c r="J117" s="3" t="n">
        <f aca="false">LOG10(H117)</f>
        <v>5.07918124604763</v>
      </c>
      <c r="K117" s="3" t="n">
        <f aca="false">LOG10(I117)</f>
        <v>2.84509804001426</v>
      </c>
      <c r="L117" s="1" t="n">
        <f aca="false">(J117-K117)</f>
        <v>2.23408320603337</v>
      </c>
      <c r="M117" s="1" t="n">
        <f aca="false">POWER(10,J117-K117)</f>
        <v>171.428571428572</v>
      </c>
      <c r="N117" s="1" t="s">
        <v>449</v>
      </c>
    </row>
    <row r="118" customFormat="false" ht="15.75" hidden="false" customHeight="false" outlineLevel="0" collapsed="false">
      <c r="A118" s="1" t="s">
        <v>450</v>
      </c>
      <c r="B118" s="2" t="s">
        <v>451</v>
      </c>
      <c r="C118" s="2" t="s">
        <v>452</v>
      </c>
      <c r="D118" s="2" t="s">
        <v>17</v>
      </c>
      <c r="E118" s="2" t="s">
        <v>27</v>
      </c>
      <c r="F118" s="3"/>
      <c r="G118" s="3"/>
      <c r="H118" s="1" t="n">
        <v>431000</v>
      </c>
      <c r="I118" s="1" t="n">
        <v>2113</v>
      </c>
      <c r="J118" s="3" t="n">
        <f aca="false">LOG10(H118)</f>
        <v>5.63447727016073</v>
      </c>
      <c r="K118" s="3" t="n">
        <f aca="false">LOG10(I118)</f>
        <v>3.32489949705231</v>
      </c>
      <c r="L118" s="1" t="n">
        <f aca="false">(J118-K118)</f>
        <v>2.30957777310842</v>
      </c>
      <c r="M118" s="1" t="n">
        <f aca="false">POWER(10,J118-K118)</f>
        <v>203.975390440132</v>
      </c>
      <c r="N118" s="7" t="s">
        <v>453</v>
      </c>
      <c r="O118" s="3"/>
      <c r="P118" s="3"/>
      <c r="Q118" s="3"/>
      <c r="R118" s="3"/>
      <c r="S118" s="3"/>
      <c r="T118" s="3"/>
      <c r="U118" s="3"/>
      <c r="V118" s="3"/>
      <c r="W118" s="3"/>
      <c r="X118" s="3"/>
      <c r="Y118" s="3"/>
      <c r="Z118" s="3"/>
      <c r="AA118" s="3"/>
      <c r="AB118" s="3"/>
      <c r="AC118" s="3"/>
      <c r="AD118" s="3"/>
      <c r="AE118" s="3"/>
      <c r="AF118" s="3"/>
      <c r="AG118" s="3"/>
      <c r="AH118" s="3"/>
      <c r="AI118" s="3"/>
    </row>
    <row r="119" customFormat="false" ht="15.75" hidden="false" customHeight="false" outlineLevel="0" collapsed="false">
      <c r="A119" s="1" t="s">
        <v>454</v>
      </c>
      <c r="B119" s="2" t="s">
        <v>455</v>
      </c>
      <c r="C119" s="2" t="s">
        <v>456</v>
      </c>
      <c r="D119" s="2" t="s">
        <v>17</v>
      </c>
      <c r="E119" s="2" t="s">
        <v>18</v>
      </c>
      <c r="F119" s="1" t="n">
        <v>300000</v>
      </c>
      <c r="G119" s="1" t="n">
        <v>400000</v>
      </c>
      <c r="H119" s="1" t="n">
        <f aca="false">AVERAGE(F119:G119)</f>
        <v>350000</v>
      </c>
      <c r="I119" s="1" t="n">
        <v>2500</v>
      </c>
      <c r="J119" s="3" t="n">
        <f aca="false">LOG10(H119)</f>
        <v>5.54406804435028</v>
      </c>
      <c r="K119" s="3" t="n">
        <f aca="false">LOG10(I119)</f>
        <v>3.39794000867204</v>
      </c>
      <c r="L119" s="1" t="n">
        <f aca="false">(J119-K119)</f>
        <v>2.14612803567824</v>
      </c>
      <c r="M119" s="1" t="n">
        <f aca="false">POWER(10,J119-K119)</f>
        <v>140</v>
      </c>
      <c r="N119" s="1" t="s">
        <v>457</v>
      </c>
    </row>
    <row r="120" customFormat="false" ht="15.75" hidden="false" customHeight="false" outlineLevel="0" collapsed="false">
      <c r="A120" s="1" t="s">
        <v>458</v>
      </c>
      <c r="B120" s="2" t="s">
        <v>459</v>
      </c>
      <c r="C120" s="2" t="s">
        <v>458</v>
      </c>
      <c r="D120" s="2" t="s">
        <v>17</v>
      </c>
      <c r="E120" s="2" t="s">
        <v>27</v>
      </c>
      <c r="F120" s="1" t="n">
        <v>20000</v>
      </c>
      <c r="G120" s="1" t="n">
        <v>40000</v>
      </c>
      <c r="H120" s="3" t="n">
        <f aca="false">AVERAGE(F120:G120)</f>
        <v>30000</v>
      </c>
      <c r="I120" s="1" t="n">
        <v>250</v>
      </c>
      <c r="J120" s="1" t="n">
        <f aca="false">LOG10(H120)</f>
        <v>4.47712125471966</v>
      </c>
      <c r="K120" s="1" t="n">
        <f aca="false">LOG10(I120)</f>
        <v>2.39794000867204</v>
      </c>
      <c r="L120" s="1" t="n">
        <f aca="false">(J120-K120)</f>
        <v>2.07918124604762</v>
      </c>
      <c r="M120" s="1" t="n">
        <f aca="false">POWER(10,J120-K120)</f>
        <v>120</v>
      </c>
      <c r="N120" s="1" t="s">
        <v>460</v>
      </c>
    </row>
    <row r="121" customFormat="false" ht="15.75" hidden="false" customHeight="false" outlineLevel="0" collapsed="false">
      <c r="A121" s="1" t="s">
        <v>461</v>
      </c>
      <c r="B121" s="2" t="s">
        <v>462</v>
      </c>
      <c r="C121" s="2" t="s">
        <v>463</v>
      </c>
      <c r="D121" s="2" t="s">
        <v>17</v>
      </c>
      <c r="E121" s="2" t="s">
        <v>18</v>
      </c>
      <c r="F121" s="1" t="n">
        <f aca="false">120000*5</f>
        <v>600000</v>
      </c>
      <c r="G121" s="1" t="n">
        <f aca="false">(120000*5)+100000</f>
        <v>700000</v>
      </c>
      <c r="H121" s="1" t="n">
        <f aca="false">AVERAGE(F121,G121)</f>
        <v>650000</v>
      </c>
      <c r="I121" s="1" t="n">
        <f aca="false">7.2*6.7*100</f>
        <v>4824</v>
      </c>
      <c r="J121" s="3" t="n">
        <f aca="false">LOG10(H121)</f>
        <v>5.81291335664286</v>
      </c>
      <c r="K121" s="3" t="n">
        <f aca="false">LOG10(I121)</f>
        <v>3.68340729913209</v>
      </c>
      <c r="L121" s="1" t="n">
        <f aca="false">(J121-K121)</f>
        <v>2.12950605751076</v>
      </c>
      <c r="M121" s="1" t="n">
        <f aca="false">POWER(10,J121-K121)</f>
        <v>134.742951907131</v>
      </c>
      <c r="N121" s="1" t="s">
        <v>464</v>
      </c>
    </row>
    <row r="122" customFormat="false" ht="15.75" hidden="false" customHeight="false" outlineLevel="0" collapsed="false">
      <c r="A122" s="1" t="s">
        <v>465</v>
      </c>
      <c r="B122" s="2" t="s">
        <v>466</v>
      </c>
      <c r="C122" s="2" t="s">
        <v>465</v>
      </c>
      <c r="D122" s="2" t="s">
        <v>299</v>
      </c>
      <c r="E122" s="2" t="s">
        <v>27</v>
      </c>
      <c r="F122" s="1" t="n">
        <v>9002</v>
      </c>
      <c r="G122" s="1" t="n">
        <v>14967</v>
      </c>
      <c r="H122" s="3" t="n">
        <f aca="false">AVERAGE(F122:G122)</f>
        <v>11984.5</v>
      </c>
      <c r="I122" s="1" t="n">
        <v>400</v>
      </c>
      <c r="J122" s="3" t="n">
        <f aca="false">LOG10(H122)</f>
        <v>4.0786199197405</v>
      </c>
      <c r="K122" s="3" t="n">
        <f aca="false">LOG10(I122)</f>
        <v>2.60205999132796</v>
      </c>
      <c r="L122" s="1" t="n">
        <f aca="false">(J122-K122)</f>
        <v>1.47655992841254</v>
      </c>
      <c r="M122" s="1" t="n">
        <f aca="false">POWER(10,J122-K122)</f>
        <v>29.96125</v>
      </c>
      <c r="N122" s="1" t="s">
        <v>467</v>
      </c>
    </row>
    <row r="123" customFormat="false" ht="15.75" hidden="false" customHeight="false" outlineLevel="0" collapsed="false">
      <c r="A123" s="1"/>
      <c r="B123" s="1"/>
      <c r="C123" s="1"/>
      <c r="D123" s="1"/>
      <c r="E123" s="1"/>
      <c r="F123" s="1"/>
      <c r="G123" s="1"/>
      <c r="I123" s="1"/>
      <c r="L123" s="1"/>
      <c r="M123" s="1"/>
      <c r="N123" s="1"/>
    </row>
    <row r="124" customFormat="false" ht="15.75" hidden="false" customHeight="false" outlineLevel="0" collapsed="false">
      <c r="A124" s="2"/>
      <c r="B124" s="2"/>
      <c r="C124" s="2"/>
      <c r="D124" s="2"/>
      <c r="E124" s="2"/>
      <c r="F124" s="8"/>
      <c r="G124" s="8"/>
      <c r="H124" s="8"/>
      <c r="I124" s="8"/>
    </row>
    <row r="125" customFormat="false" ht="15.75" hidden="false" customHeight="false" outlineLevel="0" collapsed="false">
      <c r="A125" s="2"/>
      <c r="B125" s="2"/>
      <c r="C125" s="2"/>
      <c r="D125" s="2"/>
      <c r="E125" s="2"/>
      <c r="F125" s="8"/>
      <c r="G125" s="8"/>
      <c r="H125" s="8"/>
      <c r="I125" s="8"/>
    </row>
    <row r="126" customFormat="false" ht="15.75" hidden="false" customHeight="false" outlineLevel="0" collapsed="false">
      <c r="A126" s="2"/>
      <c r="B126" s="2"/>
      <c r="C126" s="2"/>
      <c r="D126" s="2"/>
      <c r="E126" s="2"/>
      <c r="F126" s="8"/>
      <c r="G126" s="8"/>
      <c r="H126" s="8"/>
      <c r="I126" s="8"/>
    </row>
    <row r="127" customFormat="false" ht="15.75" hidden="false" customHeight="false" outlineLevel="0" collapsed="false">
      <c r="A127" s="2"/>
      <c r="B127" s="2"/>
      <c r="C127" s="2"/>
      <c r="D127" s="2"/>
      <c r="E127" s="2"/>
      <c r="F127" s="8"/>
      <c r="G127" s="8"/>
      <c r="H127" s="8"/>
      <c r="I127" s="8"/>
    </row>
    <row r="128" customFormat="false" ht="15.75" hidden="false" customHeight="false" outlineLevel="0" collapsed="false">
      <c r="B128" s="2"/>
      <c r="C128" s="2"/>
      <c r="D128" s="2"/>
      <c r="E128" s="2"/>
      <c r="F128" s="8"/>
      <c r="G128" s="8"/>
      <c r="H128" s="8"/>
    </row>
    <row r="129" customFormat="false" ht="15.75" hidden="false" customHeight="false" outlineLevel="0" collapsed="false">
      <c r="B129" s="2"/>
      <c r="C129" s="2"/>
      <c r="D129" s="2"/>
      <c r="E129" s="2"/>
      <c r="F129" s="8"/>
      <c r="G129" s="8"/>
      <c r="H129" s="8"/>
    </row>
    <row r="130" customFormat="false" ht="15.75" hidden="false" customHeight="false" outlineLevel="0" collapsed="false">
      <c r="B130" s="2"/>
      <c r="C130" s="2"/>
      <c r="D130" s="2"/>
      <c r="E130" s="2"/>
      <c r="F130" s="8"/>
      <c r="G130" s="8"/>
      <c r="H130" s="8"/>
    </row>
    <row r="131" customFormat="false" ht="15.75" hidden="false" customHeight="false" outlineLevel="0" collapsed="false">
      <c r="B131" s="2"/>
      <c r="C131" s="2"/>
      <c r="D131" s="2"/>
      <c r="E131" s="2"/>
      <c r="F131" s="8"/>
      <c r="G131" s="8"/>
      <c r="H131" s="8"/>
    </row>
    <row r="132" customFormat="false" ht="15.75" hidden="false" customHeight="false" outlineLevel="0" collapsed="false">
      <c r="B132" s="2"/>
      <c r="C132" s="2"/>
      <c r="D132" s="2"/>
      <c r="E132" s="2"/>
      <c r="F132" s="8"/>
      <c r="G132" s="8"/>
      <c r="H132" s="8"/>
    </row>
    <row r="133" customFormat="false" ht="15.75" hidden="false" customHeight="false" outlineLevel="0" collapsed="false">
      <c r="B133" s="2"/>
      <c r="C133" s="2"/>
      <c r="D133" s="2"/>
      <c r="E133" s="2"/>
      <c r="F133" s="8"/>
      <c r="G133" s="8"/>
      <c r="H133" s="8"/>
    </row>
    <row r="134" customFormat="false" ht="15.75" hidden="false" customHeight="false" outlineLevel="0" collapsed="false">
      <c r="B134" s="2"/>
      <c r="C134" s="2"/>
      <c r="D134" s="2"/>
      <c r="E134" s="2"/>
      <c r="F134" s="8"/>
      <c r="G134" s="8"/>
      <c r="H134" s="8"/>
    </row>
    <row r="135" customFormat="false" ht="15.75" hidden="false" customHeight="false" outlineLevel="0" collapsed="false">
      <c r="B135" s="2"/>
      <c r="C135" s="2"/>
      <c r="D135" s="2"/>
      <c r="E135" s="2"/>
      <c r="F135" s="8"/>
      <c r="G135" s="8"/>
      <c r="H135" s="8"/>
    </row>
    <row r="136" customFormat="false" ht="15.75" hidden="false" customHeight="false" outlineLevel="0" collapsed="false">
      <c r="B136" s="2"/>
      <c r="C136" s="2"/>
      <c r="D136" s="2"/>
      <c r="E136" s="2"/>
      <c r="F136" s="8"/>
      <c r="G136" s="8"/>
      <c r="H136" s="8"/>
    </row>
    <row r="137" customFormat="false" ht="15.75" hidden="false" customHeight="false" outlineLevel="0" collapsed="false">
      <c r="B137" s="2"/>
      <c r="C137" s="2"/>
      <c r="D137" s="2"/>
      <c r="E137" s="2"/>
      <c r="F137" s="8"/>
      <c r="G137" s="8"/>
      <c r="H137" s="8"/>
    </row>
    <row r="138" customFormat="false" ht="15.75" hidden="false" customHeight="false" outlineLevel="0" collapsed="false">
      <c r="B138" s="2"/>
      <c r="C138" s="2"/>
      <c r="D138" s="2"/>
      <c r="E138" s="2"/>
      <c r="F138" s="8"/>
      <c r="G138" s="8"/>
      <c r="H138" s="8"/>
    </row>
    <row r="139" customFormat="false" ht="15.75" hidden="false" customHeight="false" outlineLevel="0" collapsed="false">
      <c r="B139" s="2"/>
      <c r="C139" s="2"/>
      <c r="D139" s="2"/>
      <c r="E139" s="2"/>
      <c r="F139" s="8"/>
      <c r="G139" s="8"/>
      <c r="H139" s="8"/>
    </row>
    <row r="140" customFormat="false" ht="15.75" hidden="false" customHeight="false" outlineLevel="0" collapsed="false">
      <c r="B140" s="2"/>
      <c r="C140" s="2"/>
      <c r="D140" s="2"/>
      <c r="E140" s="2"/>
      <c r="F140" s="8"/>
      <c r="G140" s="8"/>
      <c r="H140" s="8"/>
    </row>
    <row r="141" customFormat="false" ht="15.75" hidden="false" customHeight="false" outlineLevel="0" collapsed="false">
      <c r="B141" s="2"/>
      <c r="C141" s="2"/>
      <c r="D141" s="2"/>
      <c r="E141" s="2"/>
      <c r="F141" s="8"/>
      <c r="G141" s="8"/>
      <c r="H141" s="8"/>
    </row>
    <row r="142" customFormat="false" ht="15.75" hidden="false" customHeight="false" outlineLevel="0" collapsed="false">
      <c r="B142" s="2"/>
      <c r="C142" s="2"/>
      <c r="D142" s="2"/>
      <c r="E142" s="2"/>
      <c r="F142" s="8"/>
      <c r="G142" s="8"/>
      <c r="H142" s="8"/>
    </row>
    <row r="143" customFormat="false" ht="15.75" hidden="false" customHeight="false" outlineLevel="0" collapsed="false">
      <c r="B143" s="2"/>
      <c r="C143" s="2"/>
      <c r="D143" s="2"/>
      <c r="E143" s="2"/>
      <c r="F143" s="8"/>
      <c r="G143" s="8"/>
      <c r="H143" s="8"/>
    </row>
    <row r="144" customFormat="false" ht="15.75" hidden="false" customHeight="false" outlineLevel="0" collapsed="false">
      <c r="B144" s="2"/>
      <c r="C144" s="2"/>
      <c r="D144" s="2"/>
      <c r="E144" s="2"/>
      <c r="F144" s="8"/>
      <c r="G144" s="8"/>
      <c r="H144" s="8"/>
    </row>
    <row r="145" customFormat="false" ht="15.75" hidden="false" customHeight="false" outlineLevel="0" collapsed="false">
      <c r="B145" s="2"/>
      <c r="C145" s="2"/>
      <c r="D145" s="2"/>
      <c r="E145" s="2"/>
      <c r="F145" s="8"/>
      <c r="G145" s="8"/>
      <c r="H145" s="8"/>
    </row>
    <row r="146" customFormat="false" ht="15.75" hidden="false" customHeight="false" outlineLevel="0" collapsed="false">
      <c r="B146" s="2"/>
      <c r="C146" s="2"/>
      <c r="D146" s="2"/>
      <c r="E146" s="2"/>
      <c r="F146" s="8"/>
      <c r="G146" s="8"/>
      <c r="H146" s="8"/>
    </row>
    <row r="147" customFormat="false" ht="15.75" hidden="false" customHeight="false" outlineLevel="0" collapsed="false">
      <c r="B147" s="2"/>
      <c r="C147" s="2"/>
      <c r="D147" s="2"/>
      <c r="E147" s="2"/>
      <c r="F147" s="8"/>
      <c r="G147" s="8"/>
      <c r="H147" s="8"/>
    </row>
    <row r="148" customFormat="false" ht="15.75" hidden="false" customHeight="false" outlineLevel="0" collapsed="false">
      <c r="B148" s="2"/>
      <c r="C148" s="2"/>
      <c r="D148" s="2"/>
      <c r="E148" s="2"/>
      <c r="F148" s="8"/>
      <c r="G148" s="8"/>
      <c r="H148" s="8"/>
    </row>
    <row r="149" customFormat="false" ht="15.75" hidden="false" customHeight="false" outlineLevel="0" collapsed="false">
      <c r="B149" s="2"/>
      <c r="C149" s="2"/>
      <c r="D149" s="2"/>
      <c r="E149" s="2"/>
      <c r="F149" s="8"/>
      <c r="G149" s="8"/>
      <c r="H149" s="8"/>
    </row>
    <row r="150" customFormat="false" ht="15.75" hidden="false" customHeight="false" outlineLevel="0" collapsed="false">
      <c r="B150" s="2"/>
      <c r="C150" s="2"/>
      <c r="D150" s="2"/>
      <c r="E150" s="2"/>
      <c r="H150" s="3"/>
    </row>
    <row r="151" customFormat="false" ht="15.75" hidden="false" customHeight="false" outlineLevel="0" collapsed="false">
      <c r="B151" s="2"/>
      <c r="C151" s="2"/>
      <c r="D151" s="2"/>
      <c r="E151" s="2"/>
      <c r="H151" s="3"/>
    </row>
    <row r="152" customFormat="false" ht="15.75" hidden="false" customHeight="false" outlineLevel="0" collapsed="false">
      <c r="B152" s="2"/>
      <c r="C152" s="2"/>
      <c r="D152" s="2"/>
      <c r="E152" s="2"/>
      <c r="H152" s="3"/>
    </row>
    <row r="153" customFormat="false" ht="15.75" hidden="false" customHeight="false" outlineLevel="0" collapsed="false">
      <c r="B153" s="2"/>
      <c r="C153" s="2"/>
      <c r="D153" s="2"/>
      <c r="E153" s="2"/>
      <c r="H153" s="3"/>
    </row>
    <row r="154" customFormat="false" ht="15.75" hidden="false" customHeight="false" outlineLevel="0" collapsed="false">
      <c r="B154" s="2"/>
      <c r="C154" s="2"/>
      <c r="D154" s="2"/>
      <c r="E154" s="2"/>
      <c r="H154" s="3"/>
    </row>
    <row r="155" customFormat="false" ht="15.75" hidden="false" customHeight="false" outlineLevel="0" collapsed="false">
      <c r="B155" s="2"/>
      <c r="C155" s="2"/>
      <c r="D155" s="2"/>
      <c r="E155" s="2"/>
      <c r="H155" s="3"/>
    </row>
    <row r="156" customFormat="false" ht="15.75" hidden="false" customHeight="false" outlineLevel="0" collapsed="false">
      <c r="B156" s="2"/>
      <c r="C156" s="2"/>
      <c r="D156" s="2"/>
      <c r="E156" s="2"/>
      <c r="H156" s="3"/>
    </row>
    <row r="157" customFormat="false" ht="15.75" hidden="false" customHeight="false" outlineLevel="0" collapsed="false">
      <c r="B157" s="2"/>
      <c r="C157" s="2"/>
      <c r="D157" s="2"/>
      <c r="E157" s="2"/>
      <c r="H157" s="3"/>
    </row>
    <row r="158" customFormat="false" ht="15.75" hidden="false" customHeight="false" outlineLevel="0" collapsed="false">
      <c r="B158" s="2"/>
      <c r="C158" s="2"/>
      <c r="D158" s="2"/>
      <c r="E158" s="2"/>
      <c r="H158" s="3"/>
    </row>
    <row r="159" customFormat="false" ht="15.75" hidden="false" customHeight="false" outlineLevel="0" collapsed="false">
      <c r="B159" s="2"/>
      <c r="C159" s="2"/>
      <c r="D159" s="2"/>
      <c r="E159" s="2"/>
      <c r="H159" s="3"/>
    </row>
    <row r="160" customFormat="false" ht="15.75" hidden="false" customHeight="false" outlineLevel="0" collapsed="false">
      <c r="B160" s="2"/>
      <c r="C160" s="2"/>
      <c r="D160" s="2"/>
      <c r="E160" s="2"/>
      <c r="H160" s="3"/>
    </row>
    <row r="161" customFormat="false" ht="15.75" hidden="false" customHeight="false" outlineLevel="0" collapsed="false">
      <c r="B161" s="2"/>
      <c r="C161" s="2"/>
      <c r="D161" s="2"/>
      <c r="E161" s="2"/>
      <c r="H161" s="3"/>
    </row>
    <row r="162" customFormat="false" ht="15.75" hidden="false" customHeight="false" outlineLevel="0" collapsed="false">
      <c r="B162" s="2"/>
      <c r="C162" s="2"/>
      <c r="D162" s="2"/>
      <c r="E162" s="2"/>
      <c r="H162" s="3"/>
    </row>
    <row r="163" customFormat="false" ht="15.75" hidden="false" customHeight="false" outlineLevel="0" collapsed="false">
      <c r="B163" s="2"/>
      <c r="C163" s="2"/>
      <c r="D163" s="2"/>
      <c r="E163" s="2"/>
      <c r="H163" s="3"/>
    </row>
    <row r="164" customFormat="false" ht="15.75" hidden="false" customHeight="false" outlineLevel="0" collapsed="false">
      <c r="B164" s="2"/>
      <c r="C164" s="2"/>
      <c r="D164" s="2"/>
      <c r="E164" s="2"/>
      <c r="H164" s="3"/>
    </row>
    <row r="165" customFormat="false" ht="15.75" hidden="false" customHeight="false" outlineLevel="0" collapsed="false">
      <c r="B165" s="2"/>
      <c r="C165" s="2"/>
      <c r="D165" s="2"/>
      <c r="E165" s="2"/>
      <c r="H165" s="3"/>
    </row>
    <row r="166" customFormat="false" ht="15.75" hidden="false" customHeight="false" outlineLevel="0" collapsed="false">
      <c r="B166" s="2"/>
      <c r="C166" s="2"/>
      <c r="D166" s="2"/>
      <c r="E166" s="2"/>
      <c r="H166" s="3"/>
    </row>
    <row r="167" customFormat="false" ht="15.75" hidden="false" customHeight="false" outlineLevel="0" collapsed="false">
      <c r="B167" s="2"/>
      <c r="C167" s="2"/>
      <c r="D167" s="2"/>
      <c r="E167" s="2"/>
      <c r="H167" s="3"/>
    </row>
    <row r="168" customFormat="false" ht="15.75" hidden="false" customHeight="false" outlineLevel="0" collapsed="false">
      <c r="B168" s="2"/>
      <c r="C168" s="2"/>
      <c r="D168" s="2"/>
      <c r="E168" s="2"/>
      <c r="H168" s="3"/>
    </row>
    <row r="169" customFormat="false" ht="15.75" hidden="false" customHeight="false" outlineLevel="0" collapsed="false">
      <c r="B169" s="2"/>
      <c r="C169" s="2"/>
      <c r="D169" s="2"/>
      <c r="E169" s="2"/>
      <c r="H169" s="3"/>
    </row>
    <row r="170" customFormat="false" ht="15.75" hidden="false" customHeight="false" outlineLevel="0" collapsed="false">
      <c r="B170" s="2"/>
      <c r="C170" s="2"/>
      <c r="D170" s="2"/>
      <c r="E170" s="2"/>
      <c r="H170" s="3"/>
    </row>
    <row r="171" customFormat="false" ht="15.75" hidden="false" customHeight="false" outlineLevel="0" collapsed="false">
      <c r="B171" s="2"/>
      <c r="C171" s="2"/>
      <c r="D171" s="2"/>
      <c r="E171" s="2"/>
      <c r="H171" s="3"/>
    </row>
    <row r="172" customFormat="false" ht="15.75" hidden="false" customHeight="false" outlineLevel="0" collapsed="false">
      <c r="B172" s="2"/>
      <c r="C172" s="2"/>
      <c r="D172" s="2"/>
      <c r="E172" s="2"/>
      <c r="H172" s="3"/>
    </row>
    <row r="173" customFormat="false" ht="15.75" hidden="false" customHeight="false" outlineLevel="0" collapsed="false">
      <c r="B173" s="2"/>
      <c r="C173" s="2"/>
      <c r="D173" s="2"/>
      <c r="E173" s="2"/>
      <c r="H173" s="3"/>
    </row>
    <row r="174" customFormat="false" ht="15.75" hidden="false" customHeight="false" outlineLevel="0" collapsed="false">
      <c r="B174" s="2"/>
      <c r="C174" s="2"/>
      <c r="D174" s="2"/>
      <c r="E174" s="2"/>
      <c r="H174" s="3"/>
    </row>
    <row r="175" customFormat="false" ht="15.75" hidden="false" customHeight="false" outlineLevel="0" collapsed="false">
      <c r="B175" s="2"/>
      <c r="C175" s="2"/>
      <c r="D175" s="2"/>
      <c r="E175" s="2"/>
      <c r="H175" s="3"/>
    </row>
    <row r="176" customFormat="false" ht="15.75" hidden="false" customHeight="false" outlineLevel="0" collapsed="false">
      <c r="B176" s="2"/>
      <c r="C176" s="2"/>
      <c r="D176" s="2"/>
      <c r="E176" s="2"/>
      <c r="H176" s="3"/>
    </row>
    <row r="177" customFormat="false" ht="15.75" hidden="false" customHeight="false" outlineLevel="0" collapsed="false">
      <c r="B177" s="2"/>
      <c r="C177" s="2"/>
      <c r="D177" s="2"/>
      <c r="E177" s="2"/>
      <c r="H177" s="3"/>
    </row>
    <row r="178" customFormat="false" ht="15.75" hidden="false" customHeight="false" outlineLevel="0" collapsed="false">
      <c r="B178" s="2"/>
      <c r="C178" s="2"/>
      <c r="D178" s="2"/>
      <c r="E178" s="2"/>
      <c r="H178" s="3"/>
    </row>
    <row r="179" customFormat="false" ht="15.75" hidden="false" customHeight="false" outlineLevel="0" collapsed="false">
      <c r="B179" s="2"/>
      <c r="C179" s="2"/>
      <c r="D179" s="2"/>
      <c r="E179" s="2"/>
      <c r="H179" s="3"/>
    </row>
    <row r="180" customFormat="false" ht="15.75" hidden="false" customHeight="false" outlineLevel="0" collapsed="false">
      <c r="B180" s="2"/>
      <c r="C180" s="2"/>
      <c r="D180" s="2"/>
      <c r="E180" s="2"/>
      <c r="H180" s="3"/>
    </row>
    <row r="181" customFormat="false" ht="15.75" hidden="false" customHeight="false" outlineLevel="0" collapsed="false">
      <c r="B181" s="2"/>
      <c r="C181" s="2"/>
      <c r="D181" s="2"/>
      <c r="E181" s="2"/>
      <c r="H181" s="3"/>
    </row>
    <row r="182" customFormat="false" ht="15.75" hidden="false" customHeight="false" outlineLevel="0" collapsed="false">
      <c r="B182" s="2"/>
      <c r="C182" s="2"/>
      <c r="D182" s="2"/>
      <c r="E182" s="2"/>
      <c r="H182" s="3"/>
    </row>
    <row r="183" customFormat="false" ht="15.75" hidden="false" customHeight="false" outlineLevel="0" collapsed="false">
      <c r="B183" s="2"/>
      <c r="C183" s="2"/>
      <c r="D183" s="2"/>
      <c r="E183" s="2"/>
      <c r="H183" s="3"/>
    </row>
    <row r="184" customFormat="false" ht="15.75" hidden="false" customHeight="false" outlineLevel="0" collapsed="false">
      <c r="B184" s="2"/>
      <c r="C184" s="2"/>
      <c r="D184" s="2"/>
      <c r="E184" s="2"/>
      <c r="H184" s="3"/>
    </row>
    <row r="185" customFormat="false" ht="15.75" hidden="false" customHeight="false" outlineLevel="0" collapsed="false">
      <c r="B185" s="2"/>
      <c r="C185" s="2"/>
      <c r="D185" s="2"/>
      <c r="E185" s="2"/>
      <c r="H185" s="3"/>
    </row>
    <row r="186" customFormat="false" ht="15.75" hidden="false" customHeight="false" outlineLevel="0" collapsed="false">
      <c r="B186" s="2"/>
      <c r="C186" s="2"/>
      <c r="D186" s="2"/>
      <c r="E186" s="2"/>
      <c r="H186" s="3"/>
    </row>
    <row r="187" customFormat="false" ht="15.75" hidden="false" customHeight="false" outlineLevel="0" collapsed="false">
      <c r="B187" s="2"/>
      <c r="C187" s="2"/>
      <c r="D187" s="2"/>
      <c r="E187" s="2"/>
      <c r="H187" s="3"/>
    </row>
    <row r="188" customFormat="false" ht="15.75" hidden="false" customHeight="false" outlineLevel="0" collapsed="false">
      <c r="B188" s="2"/>
      <c r="C188" s="2"/>
      <c r="D188" s="2"/>
      <c r="E188" s="2"/>
      <c r="H188" s="3"/>
    </row>
    <row r="189" customFormat="false" ht="15.75" hidden="false" customHeight="false" outlineLevel="0" collapsed="false">
      <c r="B189" s="2"/>
      <c r="C189" s="2"/>
      <c r="D189" s="2"/>
      <c r="E189" s="2"/>
      <c r="H189" s="3"/>
    </row>
    <row r="190" customFormat="false" ht="15.75" hidden="false" customHeight="false" outlineLevel="0" collapsed="false">
      <c r="B190" s="2"/>
      <c r="C190" s="2"/>
      <c r="D190" s="2"/>
      <c r="E190" s="2"/>
      <c r="H190" s="3"/>
    </row>
    <row r="191" customFormat="false" ht="15.75" hidden="false" customHeight="false" outlineLevel="0" collapsed="false">
      <c r="B191" s="2"/>
      <c r="C191" s="2"/>
      <c r="D191" s="2"/>
      <c r="E191" s="2"/>
      <c r="H191" s="3"/>
    </row>
    <row r="192" customFormat="false" ht="15.75" hidden="false" customHeight="false" outlineLevel="0" collapsed="false">
      <c r="B192" s="2"/>
      <c r="C192" s="2"/>
      <c r="D192" s="2"/>
      <c r="E192" s="2"/>
      <c r="H192" s="3"/>
    </row>
    <row r="193" customFormat="false" ht="15.75" hidden="false" customHeight="false" outlineLevel="0" collapsed="false">
      <c r="B193" s="2"/>
      <c r="C193" s="2"/>
      <c r="D193" s="2"/>
      <c r="E193" s="2"/>
      <c r="H193" s="3"/>
    </row>
    <row r="194" customFormat="false" ht="15.75" hidden="false" customHeight="false" outlineLevel="0" collapsed="false">
      <c r="B194" s="2"/>
      <c r="C194" s="2"/>
      <c r="D194" s="2"/>
      <c r="E194" s="2"/>
      <c r="H194" s="3"/>
    </row>
    <row r="195" customFormat="false" ht="15.75" hidden="false" customHeight="false" outlineLevel="0" collapsed="false">
      <c r="B195" s="2"/>
      <c r="C195" s="2"/>
      <c r="D195" s="2"/>
      <c r="E195" s="2"/>
      <c r="H195" s="3"/>
    </row>
    <row r="196" customFormat="false" ht="15.75" hidden="false" customHeight="false" outlineLevel="0" collapsed="false">
      <c r="B196" s="2"/>
      <c r="C196" s="2"/>
      <c r="D196" s="2"/>
      <c r="E196" s="2"/>
      <c r="H196" s="3"/>
    </row>
    <row r="197" customFormat="false" ht="15.75" hidden="false" customHeight="false" outlineLevel="0" collapsed="false">
      <c r="B197" s="2"/>
      <c r="C197" s="2"/>
      <c r="D197" s="2"/>
      <c r="E197" s="2"/>
      <c r="H197" s="3"/>
    </row>
    <row r="198" customFormat="false" ht="15.75" hidden="false" customHeight="false" outlineLevel="0" collapsed="false">
      <c r="B198" s="2"/>
      <c r="C198" s="2"/>
      <c r="D198" s="2"/>
      <c r="E198" s="2"/>
      <c r="H198" s="3"/>
    </row>
    <row r="199" customFormat="false" ht="15.75" hidden="false" customHeight="false" outlineLevel="0" collapsed="false">
      <c r="B199" s="2"/>
      <c r="C199" s="2"/>
      <c r="D199" s="2"/>
      <c r="E199" s="2"/>
      <c r="H199" s="3"/>
    </row>
    <row r="200" customFormat="false" ht="15.75" hidden="false" customHeight="false" outlineLevel="0" collapsed="false">
      <c r="B200" s="2"/>
      <c r="C200" s="2"/>
      <c r="D200" s="2"/>
      <c r="E200" s="2"/>
      <c r="H200" s="3"/>
    </row>
    <row r="201" customFormat="false" ht="15.75" hidden="false" customHeight="false" outlineLevel="0" collapsed="false">
      <c r="B201" s="2"/>
      <c r="C201" s="2"/>
      <c r="D201" s="2"/>
      <c r="E201" s="2"/>
      <c r="H201" s="3"/>
    </row>
    <row r="202" customFormat="false" ht="15.75" hidden="false" customHeight="false" outlineLevel="0" collapsed="false">
      <c r="B202" s="2"/>
      <c r="C202" s="2"/>
      <c r="D202" s="2"/>
      <c r="E202" s="2"/>
      <c r="H202" s="3"/>
    </row>
    <row r="203" customFormat="false" ht="15.75" hidden="false" customHeight="false" outlineLevel="0" collapsed="false">
      <c r="B203" s="2"/>
      <c r="C203" s="2"/>
      <c r="D203" s="2"/>
      <c r="E203" s="2"/>
      <c r="H203" s="3"/>
    </row>
    <row r="204" customFormat="false" ht="15.75" hidden="false" customHeight="false" outlineLevel="0" collapsed="false">
      <c r="B204" s="2"/>
      <c r="C204" s="2"/>
      <c r="D204" s="2"/>
      <c r="E204" s="2"/>
      <c r="H204" s="3"/>
    </row>
    <row r="205" customFormat="false" ht="15.75" hidden="false" customHeight="false" outlineLevel="0" collapsed="false">
      <c r="B205" s="2"/>
      <c r="C205" s="2"/>
      <c r="D205" s="2"/>
      <c r="E205" s="2"/>
      <c r="H205" s="3"/>
    </row>
    <row r="206" customFormat="false" ht="15.75" hidden="false" customHeight="false" outlineLevel="0" collapsed="false">
      <c r="B206" s="2"/>
      <c r="C206" s="2"/>
      <c r="D206" s="2"/>
      <c r="E206" s="2"/>
      <c r="H206" s="3"/>
    </row>
    <row r="207" customFormat="false" ht="15.75" hidden="false" customHeight="false" outlineLevel="0" collapsed="false">
      <c r="B207" s="2"/>
      <c r="C207" s="2"/>
      <c r="D207" s="2"/>
      <c r="E207" s="2"/>
      <c r="H207" s="3"/>
    </row>
    <row r="208" customFormat="false" ht="15.75" hidden="false" customHeight="false" outlineLevel="0" collapsed="false">
      <c r="B208" s="2"/>
      <c r="C208" s="2"/>
      <c r="D208" s="2"/>
      <c r="E208" s="2"/>
      <c r="H208" s="3"/>
    </row>
    <row r="209" customFormat="false" ht="15.75" hidden="false" customHeight="false" outlineLevel="0" collapsed="false">
      <c r="B209" s="2"/>
      <c r="C209" s="2"/>
      <c r="D209" s="2"/>
      <c r="E209" s="2"/>
      <c r="H209" s="3"/>
    </row>
    <row r="210" customFormat="false" ht="15.75" hidden="false" customHeight="false" outlineLevel="0" collapsed="false">
      <c r="B210" s="2"/>
      <c r="C210" s="2"/>
      <c r="D210" s="2"/>
      <c r="E210" s="2"/>
      <c r="H210" s="3"/>
    </row>
    <row r="211" customFormat="false" ht="15.75" hidden="false" customHeight="false" outlineLevel="0" collapsed="false">
      <c r="B211" s="2"/>
      <c r="C211" s="2"/>
      <c r="D211" s="2"/>
      <c r="E211" s="2"/>
      <c r="H211" s="3"/>
    </row>
    <row r="212" customFormat="false" ht="15.75" hidden="false" customHeight="false" outlineLevel="0" collapsed="false">
      <c r="B212" s="2"/>
      <c r="C212" s="2"/>
      <c r="D212" s="2"/>
      <c r="E212" s="2"/>
      <c r="H212" s="3"/>
    </row>
    <row r="213" customFormat="false" ht="15.75" hidden="false" customHeight="false" outlineLevel="0" collapsed="false">
      <c r="B213" s="2"/>
      <c r="C213" s="2"/>
      <c r="D213" s="2"/>
      <c r="E213" s="2"/>
      <c r="H213" s="3"/>
    </row>
    <row r="214" customFormat="false" ht="15.75" hidden="false" customHeight="false" outlineLevel="0" collapsed="false">
      <c r="B214" s="2"/>
      <c r="C214" s="2"/>
      <c r="D214" s="2"/>
      <c r="E214" s="2"/>
      <c r="H214" s="3"/>
    </row>
    <row r="215" customFormat="false" ht="15.75" hidden="false" customHeight="false" outlineLevel="0" collapsed="false">
      <c r="B215" s="2"/>
      <c r="C215" s="2"/>
      <c r="D215" s="2"/>
      <c r="E215" s="2"/>
      <c r="H215" s="3"/>
    </row>
    <row r="216" customFormat="false" ht="15.75" hidden="false" customHeight="false" outlineLevel="0" collapsed="false">
      <c r="B216" s="2"/>
      <c r="C216" s="2"/>
      <c r="D216" s="2"/>
      <c r="E216" s="2"/>
      <c r="H216" s="3"/>
    </row>
    <row r="217" customFormat="false" ht="15.75" hidden="false" customHeight="false" outlineLevel="0" collapsed="false">
      <c r="B217" s="2"/>
      <c r="C217" s="2"/>
      <c r="D217" s="2"/>
      <c r="E217" s="2"/>
      <c r="H217" s="3"/>
    </row>
    <row r="218" customFormat="false" ht="15.75" hidden="false" customHeight="false" outlineLevel="0" collapsed="false">
      <c r="B218" s="2"/>
      <c r="C218" s="2"/>
      <c r="D218" s="2"/>
      <c r="E218" s="2"/>
      <c r="H218" s="3"/>
    </row>
    <row r="219" customFormat="false" ht="15.75" hidden="false" customHeight="false" outlineLevel="0" collapsed="false">
      <c r="B219" s="2"/>
      <c r="C219" s="2"/>
      <c r="D219" s="2"/>
      <c r="E219" s="2"/>
      <c r="H219" s="3"/>
    </row>
    <row r="220" customFormat="false" ht="15.75" hidden="false" customHeight="false" outlineLevel="0" collapsed="false">
      <c r="B220" s="2"/>
      <c r="C220" s="2"/>
      <c r="D220" s="2"/>
      <c r="E220" s="2"/>
      <c r="H220" s="3"/>
    </row>
    <row r="221" customFormat="false" ht="15.75" hidden="false" customHeight="false" outlineLevel="0" collapsed="false">
      <c r="B221" s="2"/>
      <c r="C221" s="2"/>
      <c r="D221" s="2"/>
      <c r="E221" s="2"/>
      <c r="H221" s="3"/>
    </row>
    <row r="222" customFormat="false" ht="15.75" hidden="false" customHeight="false" outlineLevel="0" collapsed="false">
      <c r="B222" s="2"/>
      <c r="C222" s="2"/>
      <c r="D222" s="2"/>
      <c r="E222" s="2"/>
      <c r="H222" s="3"/>
    </row>
    <row r="223" customFormat="false" ht="15.75" hidden="false" customHeight="false" outlineLevel="0" collapsed="false">
      <c r="B223" s="2"/>
      <c r="C223" s="2"/>
      <c r="D223" s="2"/>
      <c r="E223" s="2"/>
      <c r="H223" s="3"/>
    </row>
    <row r="224" customFormat="false" ht="15.75" hidden="false" customHeight="false" outlineLevel="0" collapsed="false">
      <c r="B224" s="2"/>
      <c r="C224" s="2"/>
      <c r="D224" s="2"/>
      <c r="E224" s="2"/>
      <c r="H224" s="3"/>
    </row>
    <row r="225" customFormat="false" ht="15.75" hidden="false" customHeight="false" outlineLevel="0" collapsed="false">
      <c r="B225" s="2"/>
      <c r="C225" s="2"/>
      <c r="D225" s="2"/>
      <c r="E225" s="2"/>
      <c r="H225" s="3"/>
    </row>
    <row r="226" customFormat="false" ht="15.75" hidden="false" customHeight="false" outlineLevel="0" collapsed="false">
      <c r="B226" s="2"/>
      <c r="C226" s="2"/>
      <c r="D226" s="2"/>
      <c r="E226" s="2"/>
      <c r="H226" s="3"/>
    </row>
    <row r="227" customFormat="false" ht="15.75" hidden="false" customHeight="false" outlineLevel="0" collapsed="false">
      <c r="B227" s="2"/>
      <c r="C227" s="2"/>
      <c r="D227" s="2"/>
      <c r="E227" s="2"/>
      <c r="H227" s="3"/>
    </row>
    <row r="228" customFormat="false" ht="15.75" hidden="false" customHeight="false" outlineLevel="0" collapsed="false">
      <c r="B228" s="2"/>
      <c r="C228" s="2"/>
      <c r="D228" s="2"/>
      <c r="E228" s="2"/>
      <c r="H228" s="3"/>
    </row>
    <row r="229" customFormat="false" ht="15.75" hidden="false" customHeight="false" outlineLevel="0" collapsed="false">
      <c r="B229" s="2"/>
      <c r="C229" s="2"/>
      <c r="D229" s="2"/>
      <c r="E229" s="2"/>
      <c r="H229" s="3"/>
    </row>
    <row r="230" customFormat="false" ht="15.75" hidden="false" customHeight="false" outlineLevel="0" collapsed="false">
      <c r="B230" s="2"/>
      <c r="C230" s="2"/>
      <c r="D230" s="2"/>
      <c r="E230" s="2"/>
      <c r="H230" s="3"/>
    </row>
    <row r="231" customFormat="false" ht="15.75" hidden="false" customHeight="false" outlineLevel="0" collapsed="false">
      <c r="B231" s="2"/>
      <c r="C231" s="2"/>
      <c r="D231" s="2"/>
      <c r="E231" s="2"/>
      <c r="H231" s="3"/>
    </row>
    <row r="232" customFormat="false" ht="15.75" hidden="false" customHeight="false" outlineLevel="0" collapsed="false">
      <c r="B232" s="2"/>
      <c r="C232" s="2"/>
      <c r="D232" s="2"/>
      <c r="E232" s="2"/>
      <c r="H232" s="3"/>
    </row>
    <row r="233" customFormat="false" ht="15.75" hidden="false" customHeight="false" outlineLevel="0" collapsed="false">
      <c r="B233" s="2"/>
      <c r="C233" s="2"/>
      <c r="D233" s="2"/>
      <c r="E233" s="2"/>
      <c r="H233" s="3"/>
    </row>
    <row r="234" customFormat="false" ht="15.75" hidden="false" customHeight="false" outlineLevel="0" collapsed="false">
      <c r="B234" s="2"/>
      <c r="C234" s="2"/>
      <c r="D234" s="2"/>
      <c r="E234" s="2"/>
      <c r="H234" s="3"/>
    </row>
    <row r="235" customFormat="false" ht="15.75" hidden="false" customHeight="false" outlineLevel="0" collapsed="false">
      <c r="B235" s="2"/>
      <c r="C235" s="2"/>
      <c r="D235" s="2"/>
      <c r="E235" s="2"/>
      <c r="H235" s="3"/>
    </row>
    <row r="236" customFormat="false" ht="15.75" hidden="false" customHeight="false" outlineLevel="0" collapsed="false">
      <c r="B236" s="2"/>
      <c r="C236" s="2"/>
      <c r="D236" s="2"/>
      <c r="E236" s="2"/>
      <c r="H236" s="3"/>
    </row>
    <row r="237" customFormat="false" ht="15.75" hidden="false" customHeight="false" outlineLevel="0" collapsed="false">
      <c r="B237" s="2"/>
      <c r="C237" s="2"/>
      <c r="D237" s="2"/>
      <c r="E237" s="2"/>
      <c r="H237" s="3"/>
    </row>
    <row r="238" customFormat="false" ht="15.75" hidden="false" customHeight="false" outlineLevel="0" collapsed="false">
      <c r="B238" s="2"/>
      <c r="C238" s="2"/>
      <c r="D238" s="2"/>
      <c r="E238" s="2"/>
      <c r="H238" s="3"/>
    </row>
    <row r="239" customFormat="false" ht="15.75" hidden="false" customHeight="false" outlineLevel="0" collapsed="false">
      <c r="B239" s="2"/>
      <c r="C239" s="2"/>
      <c r="D239" s="2"/>
      <c r="E239" s="2"/>
      <c r="H239" s="3"/>
    </row>
    <row r="240" customFormat="false" ht="15.75" hidden="false" customHeight="false" outlineLevel="0" collapsed="false">
      <c r="B240" s="2"/>
      <c r="C240" s="2"/>
      <c r="D240" s="2"/>
      <c r="E240" s="2"/>
      <c r="H240" s="3"/>
    </row>
    <row r="241" customFormat="false" ht="15.75" hidden="false" customHeight="false" outlineLevel="0" collapsed="false">
      <c r="B241" s="2"/>
      <c r="C241" s="2"/>
      <c r="D241" s="2"/>
      <c r="E241" s="2"/>
      <c r="H241" s="3"/>
    </row>
    <row r="242" customFormat="false" ht="15.75" hidden="false" customHeight="false" outlineLevel="0" collapsed="false">
      <c r="B242" s="2"/>
      <c r="C242" s="2"/>
      <c r="D242" s="2"/>
      <c r="E242" s="2"/>
      <c r="H242" s="3"/>
    </row>
    <row r="243" customFormat="false" ht="15.75" hidden="false" customHeight="false" outlineLevel="0" collapsed="false">
      <c r="B243" s="2"/>
      <c r="C243" s="2"/>
      <c r="D243" s="2"/>
      <c r="E243" s="2"/>
      <c r="H243" s="3"/>
    </row>
    <row r="244" customFormat="false" ht="15.75" hidden="false" customHeight="false" outlineLevel="0" collapsed="false">
      <c r="B244" s="2"/>
      <c r="C244" s="2"/>
      <c r="D244" s="2"/>
      <c r="E244" s="2"/>
      <c r="H244" s="3"/>
    </row>
    <row r="245" customFormat="false" ht="15.75" hidden="false" customHeight="false" outlineLevel="0" collapsed="false">
      <c r="B245" s="2"/>
      <c r="C245" s="2"/>
      <c r="D245" s="2"/>
      <c r="E245" s="2"/>
      <c r="H245" s="3"/>
    </row>
    <row r="246" customFormat="false" ht="15.75" hidden="false" customHeight="false" outlineLevel="0" collapsed="false">
      <c r="B246" s="2"/>
      <c r="C246" s="2"/>
      <c r="D246" s="2"/>
      <c r="E246" s="2"/>
      <c r="H246" s="3"/>
    </row>
    <row r="247" customFormat="false" ht="15.75" hidden="false" customHeight="false" outlineLevel="0" collapsed="false">
      <c r="B247" s="2"/>
      <c r="C247" s="2"/>
      <c r="D247" s="2"/>
      <c r="E247" s="2"/>
      <c r="H247" s="3"/>
    </row>
    <row r="248" customFormat="false" ht="15.75" hidden="false" customHeight="false" outlineLevel="0" collapsed="false">
      <c r="B248" s="2"/>
      <c r="C248" s="2"/>
      <c r="D248" s="2"/>
      <c r="E248" s="2"/>
      <c r="H248" s="3"/>
    </row>
    <row r="249" customFormat="false" ht="15.75" hidden="false" customHeight="false" outlineLevel="0" collapsed="false">
      <c r="B249" s="2"/>
      <c r="C249" s="2"/>
      <c r="D249" s="2"/>
      <c r="E249" s="2"/>
      <c r="H249" s="3"/>
    </row>
    <row r="250" customFormat="false" ht="15.75" hidden="false" customHeight="false" outlineLevel="0" collapsed="false">
      <c r="B250" s="2"/>
      <c r="C250" s="2"/>
      <c r="D250" s="2"/>
      <c r="E250" s="2"/>
      <c r="H250" s="3"/>
    </row>
    <row r="251" customFormat="false" ht="15.75" hidden="false" customHeight="false" outlineLevel="0" collapsed="false">
      <c r="B251" s="2"/>
      <c r="C251" s="2"/>
      <c r="D251" s="2"/>
      <c r="E251" s="2"/>
      <c r="H251" s="3"/>
    </row>
    <row r="252" customFormat="false" ht="15.75" hidden="false" customHeight="false" outlineLevel="0" collapsed="false">
      <c r="B252" s="2"/>
      <c r="C252" s="2"/>
      <c r="D252" s="2"/>
      <c r="E252" s="2"/>
      <c r="H252" s="3"/>
    </row>
    <row r="253" customFormat="false" ht="15.75" hidden="false" customHeight="false" outlineLevel="0" collapsed="false">
      <c r="B253" s="2"/>
      <c r="C253" s="2"/>
      <c r="D253" s="2"/>
      <c r="E253" s="2"/>
      <c r="H253" s="3"/>
    </row>
    <row r="254" customFormat="false" ht="15.75" hidden="false" customHeight="false" outlineLevel="0" collapsed="false">
      <c r="B254" s="2"/>
      <c r="C254" s="2"/>
      <c r="D254" s="2"/>
      <c r="E254" s="2"/>
      <c r="H254" s="3"/>
    </row>
    <row r="255" customFormat="false" ht="15.75" hidden="false" customHeight="false" outlineLevel="0" collapsed="false">
      <c r="B255" s="2"/>
      <c r="C255" s="2"/>
      <c r="D255" s="2"/>
      <c r="E255" s="2"/>
      <c r="H255" s="3"/>
    </row>
    <row r="256" customFormat="false" ht="15.75" hidden="false" customHeight="false" outlineLevel="0" collapsed="false">
      <c r="B256" s="2"/>
      <c r="C256" s="2"/>
      <c r="D256" s="2"/>
      <c r="E256" s="2"/>
      <c r="H256" s="3"/>
    </row>
    <row r="257" customFormat="false" ht="15.75" hidden="false" customHeight="false" outlineLevel="0" collapsed="false">
      <c r="B257" s="2"/>
      <c r="C257" s="2"/>
      <c r="D257" s="2"/>
      <c r="E257" s="2"/>
      <c r="H257" s="3"/>
    </row>
    <row r="258" customFormat="false" ht="15.75" hidden="false" customHeight="false" outlineLevel="0" collapsed="false">
      <c r="B258" s="2"/>
      <c r="C258" s="2"/>
      <c r="D258" s="2"/>
      <c r="E258" s="2"/>
      <c r="H258" s="3"/>
    </row>
    <row r="259" customFormat="false" ht="15.75" hidden="false" customHeight="false" outlineLevel="0" collapsed="false">
      <c r="B259" s="2"/>
      <c r="C259" s="2"/>
      <c r="D259" s="2"/>
      <c r="E259" s="2"/>
      <c r="H259" s="3"/>
    </row>
    <row r="260" customFormat="false" ht="15.75" hidden="false" customHeight="false" outlineLevel="0" collapsed="false">
      <c r="B260" s="2"/>
      <c r="C260" s="2"/>
      <c r="D260" s="2"/>
      <c r="E260" s="2"/>
      <c r="H260" s="3"/>
    </row>
    <row r="261" customFormat="false" ht="15.75" hidden="false" customHeight="false" outlineLevel="0" collapsed="false">
      <c r="B261" s="2"/>
      <c r="C261" s="2"/>
      <c r="D261" s="2"/>
      <c r="E261" s="2"/>
      <c r="H261" s="3"/>
    </row>
    <row r="262" customFormat="false" ht="15.75" hidden="false" customHeight="false" outlineLevel="0" collapsed="false">
      <c r="B262" s="2"/>
      <c r="C262" s="2"/>
      <c r="D262" s="2"/>
      <c r="E262" s="2"/>
      <c r="H262" s="3"/>
    </row>
    <row r="263" customFormat="false" ht="15.75" hidden="false" customHeight="false" outlineLevel="0" collapsed="false">
      <c r="B263" s="2"/>
      <c r="C263" s="2"/>
      <c r="D263" s="2"/>
      <c r="E263" s="2"/>
      <c r="H263" s="3"/>
    </row>
    <row r="264" customFormat="false" ht="15.75" hidden="false" customHeight="false" outlineLevel="0" collapsed="false">
      <c r="B264" s="2"/>
      <c r="C264" s="2"/>
      <c r="D264" s="2"/>
      <c r="E264" s="2"/>
      <c r="H264" s="3"/>
    </row>
    <row r="265" customFormat="false" ht="15.75" hidden="false" customHeight="false" outlineLevel="0" collapsed="false">
      <c r="B265" s="2"/>
      <c r="C265" s="2"/>
      <c r="D265" s="2"/>
      <c r="E265" s="2"/>
      <c r="H265" s="3"/>
    </row>
    <row r="266" customFormat="false" ht="15.75" hidden="false" customHeight="false" outlineLevel="0" collapsed="false">
      <c r="B266" s="2"/>
      <c r="C266" s="2"/>
      <c r="D266" s="2"/>
      <c r="E266" s="2"/>
      <c r="H266" s="3"/>
    </row>
    <row r="267" customFormat="false" ht="15.75" hidden="false" customHeight="false" outlineLevel="0" collapsed="false">
      <c r="B267" s="2"/>
      <c r="C267" s="2"/>
      <c r="D267" s="2"/>
      <c r="E267" s="2"/>
      <c r="H267" s="3"/>
    </row>
    <row r="268" customFormat="false" ht="15.75" hidden="false" customHeight="false" outlineLevel="0" collapsed="false">
      <c r="B268" s="2"/>
      <c r="C268" s="2"/>
      <c r="D268" s="2"/>
      <c r="E268" s="2"/>
      <c r="H268" s="3"/>
    </row>
    <row r="269" customFormat="false" ht="15.75" hidden="false" customHeight="false" outlineLevel="0" collapsed="false">
      <c r="B269" s="2"/>
      <c r="C269" s="2"/>
      <c r="D269" s="2"/>
      <c r="E269" s="2"/>
      <c r="H269" s="3"/>
    </row>
    <row r="270" customFormat="false" ht="15.75" hidden="false" customHeight="false" outlineLevel="0" collapsed="false">
      <c r="B270" s="2"/>
      <c r="C270" s="2"/>
      <c r="D270" s="2"/>
      <c r="E270" s="2"/>
      <c r="H270" s="3"/>
    </row>
    <row r="271" customFormat="false" ht="15.75" hidden="false" customHeight="false" outlineLevel="0" collapsed="false">
      <c r="B271" s="2"/>
      <c r="C271" s="2"/>
      <c r="D271" s="2"/>
      <c r="E271" s="2"/>
      <c r="H271" s="3"/>
    </row>
    <row r="272" customFormat="false" ht="15.75" hidden="false" customHeight="false" outlineLevel="0" collapsed="false">
      <c r="B272" s="2"/>
      <c r="C272" s="2"/>
      <c r="D272" s="2"/>
      <c r="E272" s="2"/>
      <c r="H272" s="3"/>
    </row>
    <row r="273" customFormat="false" ht="15.75" hidden="false" customHeight="false" outlineLevel="0" collapsed="false">
      <c r="B273" s="2"/>
      <c r="C273" s="2"/>
      <c r="D273" s="2"/>
      <c r="E273" s="2"/>
      <c r="H273" s="3"/>
    </row>
    <row r="274" customFormat="false" ht="15.75" hidden="false" customHeight="false" outlineLevel="0" collapsed="false">
      <c r="B274" s="2"/>
      <c r="C274" s="2"/>
      <c r="D274" s="2"/>
      <c r="E274" s="2"/>
      <c r="H274" s="3"/>
    </row>
    <row r="275" customFormat="false" ht="15.75" hidden="false" customHeight="false" outlineLevel="0" collapsed="false">
      <c r="B275" s="2"/>
      <c r="C275" s="2"/>
      <c r="D275" s="2"/>
      <c r="E275" s="2"/>
      <c r="H275" s="3"/>
    </row>
    <row r="276" customFormat="false" ht="15.75" hidden="false" customHeight="false" outlineLevel="0" collapsed="false">
      <c r="B276" s="2"/>
      <c r="C276" s="2"/>
      <c r="D276" s="2"/>
      <c r="E276" s="2"/>
      <c r="H276" s="3"/>
    </row>
    <row r="277" customFormat="false" ht="15.75" hidden="false" customHeight="false" outlineLevel="0" collapsed="false">
      <c r="B277" s="2"/>
      <c r="C277" s="2"/>
      <c r="D277" s="2"/>
      <c r="E277" s="2"/>
      <c r="H277" s="3"/>
    </row>
    <row r="278" customFormat="false" ht="15.75" hidden="false" customHeight="false" outlineLevel="0" collapsed="false">
      <c r="B278" s="2"/>
      <c r="C278" s="2"/>
      <c r="D278" s="2"/>
      <c r="E278" s="2"/>
      <c r="H278" s="3"/>
    </row>
    <row r="279" customFormat="false" ht="15.75" hidden="false" customHeight="false" outlineLevel="0" collapsed="false">
      <c r="B279" s="2"/>
      <c r="C279" s="2"/>
      <c r="D279" s="2"/>
      <c r="E279" s="2"/>
      <c r="H279" s="3"/>
    </row>
    <row r="280" customFormat="false" ht="15.75" hidden="false" customHeight="false" outlineLevel="0" collapsed="false">
      <c r="B280" s="2"/>
      <c r="C280" s="2"/>
      <c r="D280" s="2"/>
      <c r="E280" s="2"/>
      <c r="H280" s="3"/>
    </row>
    <row r="281" customFormat="false" ht="15.75" hidden="false" customHeight="false" outlineLevel="0" collapsed="false">
      <c r="B281" s="2"/>
      <c r="C281" s="2"/>
      <c r="D281" s="2"/>
      <c r="E281" s="2"/>
      <c r="H281" s="3"/>
    </row>
    <row r="282" customFormat="false" ht="15.75" hidden="false" customHeight="false" outlineLevel="0" collapsed="false">
      <c r="B282" s="2"/>
      <c r="C282" s="2"/>
      <c r="D282" s="2"/>
      <c r="E282" s="2"/>
      <c r="H282" s="3"/>
    </row>
    <row r="283" customFormat="false" ht="15.75" hidden="false" customHeight="false" outlineLevel="0" collapsed="false">
      <c r="B283" s="2"/>
      <c r="C283" s="2"/>
      <c r="D283" s="2"/>
      <c r="E283" s="2"/>
      <c r="H283" s="3"/>
    </row>
    <row r="284" customFormat="false" ht="15.75" hidden="false" customHeight="false" outlineLevel="0" collapsed="false">
      <c r="B284" s="2"/>
      <c r="C284" s="2"/>
      <c r="D284" s="2"/>
      <c r="E284" s="2"/>
      <c r="H284" s="3"/>
    </row>
    <row r="285" customFormat="false" ht="15.75" hidden="false" customHeight="false" outlineLevel="0" collapsed="false">
      <c r="B285" s="2"/>
      <c r="C285" s="2"/>
      <c r="D285" s="2"/>
      <c r="E285" s="2"/>
      <c r="H285" s="3"/>
    </row>
    <row r="286" customFormat="false" ht="15.75" hidden="false" customHeight="false" outlineLevel="0" collapsed="false">
      <c r="B286" s="2"/>
      <c r="C286" s="2"/>
      <c r="D286" s="2"/>
      <c r="E286" s="2"/>
      <c r="H286" s="3"/>
    </row>
    <row r="287" customFormat="false" ht="15.75" hidden="false" customHeight="false" outlineLevel="0" collapsed="false">
      <c r="B287" s="2"/>
      <c r="C287" s="2"/>
      <c r="D287" s="2"/>
      <c r="E287" s="2"/>
      <c r="H287" s="3"/>
    </row>
    <row r="288" customFormat="false" ht="15.75" hidden="false" customHeight="false" outlineLevel="0" collapsed="false">
      <c r="B288" s="2"/>
      <c r="C288" s="2"/>
      <c r="D288" s="2"/>
      <c r="E288" s="2"/>
      <c r="H288" s="3"/>
    </row>
    <row r="289" customFormat="false" ht="15.75" hidden="false" customHeight="false" outlineLevel="0" collapsed="false">
      <c r="B289" s="2"/>
      <c r="C289" s="2"/>
      <c r="D289" s="2"/>
      <c r="E289" s="2"/>
      <c r="H289" s="3"/>
    </row>
    <row r="290" customFormat="false" ht="15.75" hidden="false" customHeight="false" outlineLevel="0" collapsed="false">
      <c r="B290" s="2"/>
      <c r="C290" s="2"/>
      <c r="D290" s="2"/>
      <c r="E290" s="2"/>
      <c r="H290" s="3"/>
    </row>
    <row r="291" customFormat="false" ht="15.75" hidden="false" customHeight="false" outlineLevel="0" collapsed="false">
      <c r="B291" s="2"/>
      <c r="C291" s="2"/>
      <c r="D291" s="2"/>
      <c r="E291" s="2"/>
      <c r="H291" s="3"/>
    </row>
    <row r="292" customFormat="false" ht="15.75" hidden="false" customHeight="false" outlineLevel="0" collapsed="false">
      <c r="B292" s="2"/>
      <c r="C292" s="2"/>
      <c r="D292" s="2"/>
      <c r="E292" s="2"/>
      <c r="H292" s="3"/>
    </row>
    <row r="293" customFormat="false" ht="15.75" hidden="false" customHeight="false" outlineLevel="0" collapsed="false">
      <c r="B293" s="2"/>
      <c r="C293" s="2"/>
      <c r="D293" s="2"/>
      <c r="E293" s="2"/>
      <c r="H293" s="3"/>
    </row>
    <row r="294" customFormat="false" ht="15.75" hidden="false" customHeight="false" outlineLevel="0" collapsed="false">
      <c r="B294" s="2"/>
      <c r="C294" s="2"/>
      <c r="D294" s="2"/>
      <c r="E294" s="2"/>
      <c r="H294" s="3"/>
    </row>
    <row r="295" customFormat="false" ht="15.75" hidden="false" customHeight="false" outlineLevel="0" collapsed="false">
      <c r="B295" s="2"/>
      <c r="C295" s="2"/>
      <c r="D295" s="2"/>
      <c r="E295" s="2"/>
      <c r="H295" s="3"/>
    </row>
    <row r="296" customFormat="false" ht="15.75" hidden="false" customHeight="false" outlineLevel="0" collapsed="false">
      <c r="B296" s="2"/>
      <c r="C296" s="2"/>
      <c r="D296" s="2"/>
      <c r="E296" s="2"/>
      <c r="H296" s="3"/>
    </row>
    <row r="297" customFormat="false" ht="15.75" hidden="false" customHeight="false" outlineLevel="0" collapsed="false">
      <c r="B297" s="2"/>
      <c r="C297" s="2"/>
      <c r="D297" s="2"/>
      <c r="E297" s="2"/>
      <c r="H297" s="3"/>
    </row>
    <row r="298" customFormat="false" ht="15.75" hidden="false" customHeight="false" outlineLevel="0" collapsed="false">
      <c r="B298" s="2"/>
      <c r="C298" s="2"/>
      <c r="D298" s="2"/>
      <c r="E298" s="2"/>
      <c r="H298" s="3"/>
    </row>
    <row r="299" customFormat="false" ht="15.75" hidden="false" customHeight="false" outlineLevel="0" collapsed="false">
      <c r="B299" s="2"/>
      <c r="C299" s="2"/>
      <c r="D299" s="2"/>
      <c r="E299" s="2"/>
      <c r="H299" s="3"/>
    </row>
    <row r="300" customFormat="false" ht="15.75" hidden="false" customHeight="false" outlineLevel="0" collapsed="false">
      <c r="B300" s="2"/>
      <c r="C300" s="2"/>
      <c r="D300" s="2"/>
      <c r="E300" s="2"/>
      <c r="H300" s="3"/>
    </row>
    <row r="301" customFormat="false" ht="15.75" hidden="false" customHeight="false" outlineLevel="0" collapsed="false">
      <c r="B301" s="2"/>
      <c r="C301" s="2"/>
      <c r="D301" s="2"/>
      <c r="E301" s="2"/>
      <c r="H301" s="3"/>
    </row>
    <row r="302" customFormat="false" ht="15.75" hidden="false" customHeight="false" outlineLevel="0" collapsed="false">
      <c r="B302" s="2"/>
      <c r="C302" s="2"/>
      <c r="D302" s="2"/>
      <c r="E302" s="2"/>
      <c r="H302" s="3"/>
    </row>
    <row r="303" customFormat="false" ht="15.75" hidden="false" customHeight="false" outlineLevel="0" collapsed="false">
      <c r="B303" s="2"/>
      <c r="C303" s="2"/>
      <c r="D303" s="2"/>
      <c r="E303" s="2"/>
      <c r="H303" s="3"/>
    </row>
    <row r="304" customFormat="false" ht="15.75" hidden="false" customHeight="false" outlineLevel="0" collapsed="false">
      <c r="B304" s="2"/>
      <c r="C304" s="2"/>
      <c r="D304" s="2"/>
      <c r="E304" s="2"/>
      <c r="H304" s="3"/>
    </row>
    <row r="305" customFormat="false" ht="15.75" hidden="false" customHeight="false" outlineLevel="0" collapsed="false">
      <c r="B305" s="2"/>
      <c r="C305" s="2"/>
      <c r="D305" s="2"/>
      <c r="E305" s="2"/>
      <c r="H305" s="3"/>
    </row>
    <row r="306" customFormat="false" ht="15.75" hidden="false" customHeight="false" outlineLevel="0" collapsed="false">
      <c r="B306" s="2"/>
      <c r="C306" s="2"/>
      <c r="D306" s="2"/>
      <c r="E306" s="2"/>
      <c r="H306" s="3"/>
    </row>
    <row r="307" customFormat="false" ht="15.75" hidden="false" customHeight="false" outlineLevel="0" collapsed="false">
      <c r="B307" s="2"/>
      <c r="C307" s="2"/>
      <c r="D307" s="2"/>
      <c r="E307" s="2"/>
      <c r="H307" s="3"/>
    </row>
    <row r="308" customFormat="false" ht="15.75" hidden="false" customHeight="false" outlineLevel="0" collapsed="false">
      <c r="B308" s="2"/>
      <c r="C308" s="2"/>
      <c r="D308" s="2"/>
      <c r="E308" s="2"/>
      <c r="H308" s="3"/>
    </row>
    <row r="309" customFormat="false" ht="15.75" hidden="false" customHeight="false" outlineLevel="0" collapsed="false">
      <c r="B309" s="2"/>
      <c r="C309" s="2"/>
      <c r="D309" s="2"/>
      <c r="E309" s="2"/>
      <c r="H309" s="3"/>
    </row>
    <row r="310" customFormat="false" ht="15.75" hidden="false" customHeight="false" outlineLevel="0" collapsed="false">
      <c r="B310" s="2"/>
      <c r="C310" s="2"/>
      <c r="D310" s="2"/>
      <c r="E310" s="2"/>
      <c r="H310" s="3"/>
    </row>
    <row r="311" customFormat="false" ht="15.75" hidden="false" customHeight="false" outlineLevel="0" collapsed="false">
      <c r="B311" s="2"/>
      <c r="C311" s="2"/>
      <c r="D311" s="2"/>
      <c r="E311" s="2"/>
      <c r="H311" s="3"/>
    </row>
    <row r="312" customFormat="false" ht="15.75" hidden="false" customHeight="false" outlineLevel="0" collapsed="false">
      <c r="B312" s="2"/>
      <c r="C312" s="2"/>
      <c r="D312" s="2"/>
      <c r="E312" s="2"/>
      <c r="H312" s="3"/>
    </row>
    <row r="313" customFormat="false" ht="15.75" hidden="false" customHeight="false" outlineLevel="0" collapsed="false">
      <c r="B313" s="2"/>
      <c r="C313" s="2"/>
      <c r="D313" s="2"/>
      <c r="E313" s="2"/>
      <c r="H313" s="3"/>
    </row>
    <row r="314" customFormat="false" ht="15.75" hidden="false" customHeight="false" outlineLevel="0" collapsed="false">
      <c r="B314" s="2"/>
      <c r="C314" s="2"/>
      <c r="D314" s="2"/>
      <c r="E314" s="2"/>
      <c r="H314" s="3"/>
    </row>
    <row r="315" customFormat="false" ht="15.75" hidden="false" customHeight="false" outlineLevel="0" collapsed="false">
      <c r="B315" s="2"/>
      <c r="C315" s="2"/>
      <c r="D315" s="2"/>
      <c r="E315" s="2"/>
      <c r="H315" s="3"/>
    </row>
    <row r="316" customFormat="false" ht="15.75" hidden="false" customHeight="false" outlineLevel="0" collapsed="false">
      <c r="B316" s="2"/>
      <c r="C316" s="2"/>
      <c r="D316" s="2"/>
      <c r="E316" s="2"/>
      <c r="H316" s="3"/>
    </row>
    <row r="317" customFormat="false" ht="15.75" hidden="false" customHeight="false" outlineLevel="0" collapsed="false">
      <c r="B317" s="2"/>
      <c r="C317" s="2"/>
      <c r="D317" s="2"/>
      <c r="E317" s="2"/>
      <c r="H317" s="3"/>
    </row>
    <row r="318" customFormat="false" ht="15.75" hidden="false" customHeight="false" outlineLevel="0" collapsed="false">
      <c r="B318" s="2"/>
      <c r="C318" s="2"/>
      <c r="D318" s="2"/>
      <c r="E318" s="2"/>
      <c r="H318" s="3"/>
    </row>
    <row r="319" customFormat="false" ht="15.75" hidden="false" customHeight="false" outlineLevel="0" collapsed="false">
      <c r="B319" s="2"/>
      <c r="C319" s="2"/>
      <c r="D319" s="2"/>
      <c r="E319" s="2"/>
      <c r="H319" s="3"/>
    </row>
    <row r="320" customFormat="false" ht="15.75" hidden="false" customHeight="false" outlineLevel="0" collapsed="false">
      <c r="B320" s="2"/>
      <c r="C320" s="2"/>
      <c r="D320" s="2"/>
      <c r="E320" s="2"/>
      <c r="H320" s="3"/>
    </row>
    <row r="321" customFormat="false" ht="15.75" hidden="false" customHeight="false" outlineLevel="0" collapsed="false">
      <c r="B321" s="2"/>
      <c r="C321" s="2"/>
      <c r="D321" s="2"/>
      <c r="E321" s="2"/>
      <c r="H321" s="3"/>
    </row>
    <row r="322" customFormat="false" ht="15.75" hidden="false" customHeight="false" outlineLevel="0" collapsed="false">
      <c r="B322" s="2"/>
      <c r="C322" s="2"/>
      <c r="D322" s="2"/>
      <c r="E322" s="2"/>
      <c r="H322" s="3"/>
    </row>
    <row r="323" customFormat="false" ht="15.75" hidden="false" customHeight="false" outlineLevel="0" collapsed="false">
      <c r="B323" s="2"/>
      <c r="C323" s="2"/>
      <c r="D323" s="2"/>
      <c r="E323" s="2"/>
      <c r="H323" s="3"/>
    </row>
    <row r="324" customFormat="false" ht="15.75" hidden="false" customHeight="false" outlineLevel="0" collapsed="false">
      <c r="B324" s="2"/>
      <c r="C324" s="2"/>
      <c r="D324" s="2"/>
      <c r="E324" s="2"/>
      <c r="H324" s="3"/>
    </row>
    <row r="325" customFormat="false" ht="15.75" hidden="false" customHeight="false" outlineLevel="0" collapsed="false">
      <c r="B325" s="2"/>
      <c r="C325" s="2"/>
      <c r="D325" s="2"/>
      <c r="E325" s="2"/>
      <c r="H325" s="3"/>
    </row>
    <row r="326" customFormat="false" ht="15.75" hidden="false" customHeight="false" outlineLevel="0" collapsed="false">
      <c r="B326" s="2"/>
      <c r="C326" s="2"/>
      <c r="D326" s="2"/>
      <c r="E326" s="2"/>
      <c r="H326" s="3"/>
    </row>
    <row r="327" customFormat="false" ht="15.75" hidden="false" customHeight="false" outlineLevel="0" collapsed="false">
      <c r="B327" s="2"/>
      <c r="C327" s="2"/>
      <c r="D327" s="2"/>
      <c r="E327" s="2"/>
      <c r="H327" s="3"/>
    </row>
    <row r="328" customFormat="false" ht="15.75" hidden="false" customHeight="false" outlineLevel="0" collapsed="false">
      <c r="B328" s="2"/>
      <c r="C328" s="2"/>
      <c r="D328" s="2"/>
      <c r="E328" s="2"/>
      <c r="H328" s="3"/>
    </row>
    <row r="329" customFormat="false" ht="15.75" hidden="false" customHeight="false" outlineLevel="0" collapsed="false">
      <c r="B329" s="2"/>
      <c r="C329" s="2"/>
      <c r="D329" s="2"/>
      <c r="E329" s="2"/>
      <c r="H329" s="3"/>
    </row>
    <row r="330" customFormat="false" ht="15.75" hidden="false" customHeight="false" outlineLevel="0" collapsed="false">
      <c r="B330" s="2"/>
      <c r="C330" s="2"/>
      <c r="D330" s="2"/>
      <c r="E330" s="2"/>
      <c r="H330" s="3"/>
    </row>
    <row r="331" customFormat="false" ht="15.75" hidden="false" customHeight="false" outlineLevel="0" collapsed="false">
      <c r="B331" s="2"/>
      <c r="C331" s="2"/>
      <c r="D331" s="2"/>
      <c r="E331" s="2"/>
      <c r="H331" s="3"/>
    </row>
    <row r="332" customFormat="false" ht="15.75" hidden="false" customHeight="false" outlineLevel="0" collapsed="false">
      <c r="B332" s="2"/>
      <c r="C332" s="2"/>
      <c r="D332" s="2"/>
      <c r="E332" s="2"/>
      <c r="H332" s="3"/>
    </row>
    <row r="333" customFormat="false" ht="15.75" hidden="false" customHeight="false" outlineLevel="0" collapsed="false">
      <c r="B333" s="2"/>
      <c r="C333" s="2"/>
      <c r="D333" s="2"/>
      <c r="E333" s="2"/>
      <c r="H333" s="3"/>
    </row>
    <row r="334" customFormat="false" ht="15.75" hidden="false" customHeight="false" outlineLevel="0" collapsed="false">
      <c r="B334" s="2"/>
      <c r="C334" s="2"/>
      <c r="D334" s="2"/>
      <c r="E334" s="2"/>
      <c r="H334" s="3"/>
    </row>
    <row r="335" customFormat="false" ht="15.75" hidden="false" customHeight="false" outlineLevel="0" collapsed="false">
      <c r="B335" s="2"/>
      <c r="C335" s="2"/>
      <c r="D335" s="2"/>
      <c r="E335" s="2"/>
      <c r="H335" s="3"/>
    </row>
    <row r="336" customFormat="false" ht="15.75" hidden="false" customHeight="false" outlineLevel="0" collapsed="false">
      <c r="B336" s="2"/>
      <c r="C336" s="2"/>
      <c r="D336" s="2"/>
      <c r="E336" s="2"/>
      <c r="H336" s="3"/>
    </row>
    <row r="337" customFormat="false" ht="15.75" hidden="false" customHeight="false" outlineLevel="0" collapsed="false">
      <c r="B337" s="2"/>
      <c r="C337" s="2"/>
      <c r="D337" s="2"/>
      <c r="E337" s="2"/>
      <c r="H337" s="3"/>
    </row>
    <row r="338" customFormat="false" ht="15.75" hidden="false" customHeight="false" outlineLevel="0" collapsed="false">
      <c r="B338" s="2"/>
      <c r="C338" s="2"/>
      <c r="D338" s="2"/>
      <c r="E338" s="2"/>
      <c r="H338" s="3"/>
    </row>
    <row r="339" customFormat="false" ht="15.75" hidden="false" customHeight="false" outlineLevel="0" collapsed="false">
      <c r="B339" s="2"/>
      <c r="C339" s="2"/>
      <c r="D339" s="2"/>
      <c r="E339" s="2"/>
      <c r="H339" s="3"/>
    </row>
    <row r="340" customFormat="false" ht="15.75" hidden="false" customHeight="false" outlineLevel="0" collapsed="false">
      <c r="B340" s="2"/>
      <c r="C340" s="2"/>
      <c r="D340" s="2"/>
      <c r="E340" s="2"/>
      <c r="H340" s="3"/>
    </row>
    <row r="341" customFormat="false" ht="15.75" hidden="false" customHeight="false" outlineLevel="0" collapsed="false">
      <c r="B341" s="2"/>
      <c r="C341" s="2"/>
      <c r="D341" s="2"/>
      <c r="E341" s="2"/>
      <c r="H341" s="3"/>
    </row>
    <row r="342" customFormat="false" ht="15.75" hidden="false" customHeight="false" outlineLevel="0" collapsed="false">
      <c r="B342" s="2"/>
      <c r="C342" s="2"/>
      <c r="D342" s="2"/>
      <c r="E342" s="2"/>
      <c r="H342" s="3"/>
    </row>
    <row r="343" customFormat="false" ht="15.75" hidden="false" customHeight="false" outlineLevel="0" collapsed="false">
      <c r="B343" s="2"/>
      <c r="C343" s="2"/>
      <c r="D343" s="2"/>
      <c r="E343" s="2"/>
      <c r="H343" s="3"/>
    </row>
    <row r="344" customFormat="false" ht="15.75" hidden="false" customHeight="false" outlineLevel="0" collapsed="false">
      <c r="B344" s="2"/>
      <c r="C344" s="2"/>
      <c r="D344" s="2"/>
      <c r="E344" s="2"/>
      <c r="H344" s="3"/>
    </row>
    <row r="345" customFormat="false" ht="15.75" hidden="false" customHeight="false" outlineLevel="0" collapsed="false">
      <c r="B345" s="2"/>
      <c r="C345" s="2"/>
      <c r="D345" s="2"/>
      <c r="E345" s="2"/>
      <c r="H345" s="3"/>
    </row>
    <row r="346" customFormat="false" ht="15.75" hidden="false" customHeight="false" outlineLevel="0" collapsed="false">
      <c r="B346" s="2"/>
      <c r="C346" s="2"/>
      <c r="D346" s="2"/>
      <c r="E346" s="2"/>
      <c r="H346" s="3"/>
    </row>
    <row r="347" customFormat="false" ht="15.75" hidden="false" customHeight="false" outlineLevel="0" collapsed="false">
      <c r="B347" s="2"/>
      <c r="C347" s="2"/>
      <c r="D347" s="2"/>
      <c r="E347" s="2"/>
      <c r="H347" s="3"/>
    </row>
    <row r="348" customFormat="false" ht="15.75" hidden="false" customHeight="false" outlineLevel="0" collapsed="false">
      <c r="B348" s="2"/>
      <c r="C348" s="2"/>
      <c r="D348" s="2"/>
      <c r="E348" s="2"/>
      <c r="H348" s="3"/>
    </row>
    <row r="349" customFormat="false" ht="15.75" hidden="false" customHeight="false" outlineLevel="0" collapsed="false">
      <c r="B349" s="2"/>
      <c r="C349" s="2"/>
      <c r="D349" s="2"/>
      <c r="E349" s="2"/>
      <c r="H349" s="3"/>
    </row>
    <row r="350" customFormat="false" ht="15.75" hidden="false" customHeight="false" outlineLevel="0" collapsed="false">
      <c r="B350" s="2"/>
      <c r="C350" s="2"/>
      <c r="D350" s="2"/>
      <c r="E350" s="2"/>
      <c r="H350" s="3"/>
    </row>
    <row r="351" customFormat="false" ht="15.75" hidden="false" customHeight="false" outlineLevel="0" collapsed="false">
      <c r="B351" s="2"/>
      <c r="C351" s="2"/>
      <c r="D351" s="2"/>
      <c r="E351" s="2"/>
      <c r="H351" s="3"/>
    </row>
    <row r="352" customFormat="false" ht="15.75" hidden="false" customHeight="false" outlineLevel="0" collapsed="false">
      <c r="B352" s="2"/>
      <c r="C352" s="2"/>
      <c r="D352" s="2"/>
      <c r="E352" s="2"/>
      <c r="H352" s="3"/>
    </row>
    <row r="353" customFormat="false" ht="15.75" hidden="false" customHeight="false" outlineLevel="0" collapsed="false">
      <c r="B353" s="2"/>
      <c r="C353" s="2"/>
      <c r="D353" s="2"/>
      <c r="E353" s="2"/>
      <c r="H353" s="3"/>
    </row>
    <row r="354" customFormat="false" ht="15.75" hidden="false" customHeight="false" outlineLevel="0" collapsed="false">
      <c r="B354" s="2"/>
      <c r="C354" s="2"/>
      <c r="D354" s="2"/>
      <c r="E354" s="2"/>
      <c r="H354" s="3"/>
    </row>
    <row r="355" customFormat="false" ht="15.75" hidden="false" customHeight="false" outlineLevel="0" collapsed="false">
      <c r="B355" s="2"/>
      <c r="C355" s="2"/>
      <c r="D355" s="2"/>
      <c r="E355" s="2"/>
      <c r="H355" s="3"/>
    </row>
    <row r="356" customFormat="false" ht="15.75" hidden="false" customHeight="false" outlineLevel="0" collapsed="false">
      <c r="B356" s="2"/>
      <c r="C356" s="2"/>
      <c r="D356" s="2"/>
      <c r="E356" s="2"/>
      <c r="H356" s="3"/>
    </row>
    <row r="357" customFormat="false" ht="15.75" hidden="false" customHeight="false" outlineLevel="0" collapsed="false">
      <c r="B357" s="2"/>
      <c r="C357" s="2"/>
      <c r="D357" s="2"/>
      <c r="E357" s="2"/>
      <c r="H357" s="3"/>
    </row>
    <row r="358" customFormat="false" ht="15.75" hidden="false" customHeight="false" outlineLevel="0" collapsed="false">
      <c r="B358" s="2"/>
      <c r="C358" s="2"/>
      <c r="D358" s="2"/>
      <c r="E358" s="2"/>
      <c r="H358" s="3"/>
    </row>
    <row r="359" customFormat="false" ht="15.75" hidden="false" customHeight="false" outlineLevel="0" collapsed="false">
      <c r="B359" s="2"/>
      <c r="C359" s="2"/>
      <c r="D359" s="2"/>
      <c r="E359" s="2"/>
      <c r="H359" s="3"/>
    </row>
    <row r="360" customFormat="false" ht="15.75" hidden="false" customHeight="false" outlineLevel="0" collapsed="false">
      <c r="B360" s="2"/>
      <c r="C360" s="2"/>
      <c r="D360" s="2"/>
      <c r="E360" s="2"/>
      <c r="H360" s="3"/>
    </row>
    <row r="361" customFormat="false" ht="15.75" hidden="false" customHeight="false" outlineLevel="0" collapsed="false">
      <c r="B361" s="2"/>
      <c r="C361" s="2"/>
      <c r="D361" s="2"/>
      <c r="E361" s="2"/>
      <c r="H361" s="3"/>
    </row>
    <row r="362" customFormat="false" ht="15.75" hidden="false" customHeight="false" outlineLevel="0" collapsed="false">
      <c r="B362" s="2"/>
      <c r="C362" s="2"/>
      <c r="D362" s="2"/>
      <c r="E362" s="2"/>
      <c r="H362" s="3"/>
    </row>
    <row r="363" customFormat="false" ht="15.75" hidden="false" customHeight="false" outlineLevel="0" collapsed="false">
      <c r="B363" s="2"/>
      <c r="C363" s="2"/>
      <c r="D363" s="2"/>
      <c r="E363" s="2"/>
      <c r="H363" s="3"/>
    </row>
    <row r="364" customFormat="false" ht="15.75" hidden="false" customHeight="false" outlineLevel="0" collapsed="false">
      <c r="B364" s="2"/>
      <c r="C364" s="2"/>
      <c r="D364" s="2"/>
      <c r="E364" s="2"/>
      <c r="H364" s="3"/>
    </row>
    <row r="365" customFormat="false" ht="15.75" hidden="false" customHeight="false" outlineLevel="0" collapsed="false">
      <c r="B365" s="2"/>
      <c r="C365" s="2"/>
      <c r="D365" s="2"/>
      <c r="E365" s="2"/>
      <c r="H365" s="3"/>
    </row>
    <row r="366" customFormat="false" ht="15.75" hidden="false" customHeight="false" outlineLevel="0" collapsed="false">
      <c r="B366" s="2"/>
      <c r="C366" s="2"/>
      <c r="D366" s="2"/>
      <c r="E366" s="2"/>
      <c r="H366" s="3"/>
    </row>
    <row r="367" customFormat="false" ht="15.75" hidden="false" customHeight="false" outlineLevel="0" collapsed="false">
      <c r="B367" s="2"/>
      <c r="C367" s="2"/>
      <c r="D367" s="2"/>
      <c r="E367" s="2"/>
      <c r="H367" s="3"/>
    </row>
    <row r="368" customFormat="false" ht="15.75" hidden="false" customHeight="false" outlineLevel="0" collapsed="false">
      <c r="B368" s="2"/>
      <c r="C368" s="2"/>
      <c r="D368" s="2"/>
      <c r="E368" s="2"/>
      <c r="H368" s="3"/>
    </row>
    <row r="369" customFormat="false" ht="15.75" hidden="false" customHeight="false" outlineLevel="0" collapsed="false">
      <c r="B369" s="2"/>
      <c r="C369" s="2"/>
      <c r="D369" s="2"/>
      <c r="E369" s="2"/>
      <c r="H369" s="3"/>
    </row>
    <row r="370" customFormat="false" ht="15.75" hidden="false" customHeight="false" outlineLevel="0" collapsed="false">
      <c r="B370" s="2"/>
      <c r="C370" s="2"/>
      <c r="D370" s="2"/>
      <c r="E370" s="2"/>
      <c r="H370" s="3"/>
    </row>
    <row r="371" customFormat="false" ht="15.75" hidden="false" customHeight="false" outlineLevel="0" collapsed="false">
      <c r="B371" s="2"/>
      <c r="C371" s="2"/>
      <c r="D371" s="2"/>
      <c r="E371" s="2"/>
      <c r="H371" s="3"/>
    </row>
    <row r="372" customFormat="false" ht="15.75" hidden="false" customHeight="false" outlineLevel="0" collapsed="false">
      <c r="B372" s="2"/>
      <c r="C372" s="2"/>
      <c r="D372" s="2"/>
      <c r="E372" s="2"/>
      <c r="H372" s="3"/>
    </row>
    <row r="373" customFormat="false" ht="15.75" hidden="false" customHeight="false" outlineLevel="0" collapsed="false">
      <c r="B373" s="2"/>
      <c r="C373" s="2"/>
      <c r="D373" s="2"/>
      <c r="E373" s="2"/>
      <c r="H373" s="3"/>
    </row>
    <row r="374" customFormat="false" ht="15.75" hidden="false" customHeight="false" outlineLevel="0" collapsed="false">
      <c r="B374" s="2"/>
      <c r="C374" s="2"/>
      <c r="D374" s="2"/>
      <c r="E374" s="2"/>
      <c r="H374" s="3"/>
    </row>
    <row r="375" customFormat="false" ht="15.75" hidden="false" customHeight="false" outlineLevel="0" collapsed="false">
      <c r="B375" s="2"/>
      <c r="C375" s="2"/>
      <c r="D375" s="2"/>
      <c r="E375" s="2"/>
      <c r="H375" s="3"/>
    </row>
    <row r="376" customFormat="false" ht="15.75" hidden="false" customHeight="false" outlineLevel="0" collapsed="false">
      <c r="B376" s="2"/>
      <c r="C376" s="2"/>
      <c r="D376" s="2"/>
      <c r="E376" s="2"/>
      <c r="H376" s="3"/>
    </row>
    <row r="377" customFormat="false" ht="15.75" hidden="false" customHeight="false" outlineLevel="0" collapsed="false">
      <c r="B377" s="2"/>
      <c r="C377" s="2"/>
      <c r="D377" s="2"/>
      <c r="E377" s="2"/>
      <c r="H377" s="3"/>
    </row>
    <row r="378" customFormat="false" ht="15.75" hidden="false" customHeight="false" outlineLevel="0" collapsed="false">
      <c r="B378" s="2"/>
      <c r="C378" s="2"/>
      <c r="D378" s="2"/>
      <c r="E378" s="2"/>
      <c r="H378" s="3"/>
    </row>
    <row r="379" customFormat="false" ht="15.75" hidden="false" customHeight="false" outlineLevel="0" collapsed="false">
      <c r="B379" s="2"/>
      <c r="C379" s="2"/>
      <c r="D379" s="2"/>
      <c r="E379" s="2"/>
      <c r="H379" s="3"/>
    </row>
    <row r="380" customFormat="false" ht="15.75" hidden="false" customHeight="false" outlineLevel="0" collapsed="false">
      <c r="B380" s="2"/>
      <c r="C380" s="2"/>
      <c r="D380" s="2"/>
      <c r="E380" s="2"/>
      <c r="H380" s="3"/>
    </row>
    <row r="381" customFormat="false" ht="15.75" hidden="false" customHeight="false" outlineLevel="0" collapsed="false">
      <c r="B381" s="2"/>
      <c r="C381" s="2"/>
      <c r="D381" s="2"/>
      <c r="E381" s="2"/>
      <c r="H381" s="3"/>
    </row>
    <row r="382" customFormat="false" ht="15.75" hidden="false" customHeight="false" outlineLevel="0" collapsed="false">
      <c r="B382" s="2"/>
      <c r="C382" s="2"/>
      <c r="D382" s="2"/>
      <c r="E382" s="2"/>
      <c r="H382" s="3"/>
    </row>
    <row r="383" customFormat="false" ht="15.75" hidden="false" customHeight="false" outlineLevel="0" collapsed="false">
      <c r="B383" s="2"/>
      <c r="C383" s="2"/>
      <c r="D383" s="2"/>
      <c r="E383" s="2"/>
      <c r="H383" s="3"/>
    </row>
    <row r="384" customFormat="false" ht="15.75" hidden="false" customHeight="false" outlineLevel="0" collapsed="false">
      <c r="B384" s="2"/>
      <c r="C384" s="2"/>
      <c r="D384" s="2"/>
      <c r="E384" s="2"/>
      <c r="H384" s="3"/>
    </row>
    <row r="385" customFormat="false" ht="15.75" hidden="false" customHeight="false" outlineLevel="0" collapsed="false">
      <c r="B385" s="2"/>
      <c r="C385" s="2"/>
      <c r="D385" s="2"/>
      <c r="E385" s="2"/>
      <c r="H385" s="3"/>
    </row>
    <row r="386" customFormat="false" ht="15.75" hidden="false" customHeight="false" outlineLevel="0" collapsed="false">
      <c r="B386" s="2"/>
      <c r="C386" s="2"/>
      <c r="D386" s="2"/>
      <c r="E386" s="2"/>
      <c r="H386" s="3"/>
    </row>
    <row r="387" customFormat="false" ht="15.75" hidden="false" customHeight="false" outlineLevel="0" collapsed="false">
      <c r="B387" s="2"/>
      <c r="C387" s="2"/>
      <c r="D387" s="2"/>
      <c r="E387" s="2"/>
      <c r="H387" s="3"/>
    </row>
    <row r="388" customFormat="false" ht="15.75" hidden="false" customHeight="false" outlineLevel="0" collapsed="false">
      <c r="B388" s="2"/>
      <c r="C388" s="2"/>
      <c r="D388" s="2"/>
      <c r="E388" s="2"/>
      <c r="H388" s="3"/>
    </row>
    <row r="389" customFormat="false" ht="15.75" hidden="false" customHeight="false" outlineLevel="0" collapsed="false">
      <c r="B389" s="2"/>
      <c r="C389" s="2"/>
      <c r="D389" s="2"/>
      <c r="E389" s="2"/>
      <c r="H389" s="3"/>
    </row>
    <row r="390" customFormat="false" ht="15.75" hidden="false" customHeight="false" outlineLevel="0" collapsed="false">
      <c r="B390" s="2"/>
      <c r="C390" s="2"/>
      <c r="D390" s="2"/>
      <c r="E390" s="2"/>
      <c r="H390" s="3"/>
    </row>
    <row r="391" customFormat="false" ht="15.75" hidden="false" customHeight="false" outlineLevel="0" collapsed="false">
      <c r="B391" s="2"/>
      <c r="C391" s="2"/>
      <c r="D391" s="2"/>
      <c r="E391" s="2"/>
      <c r="H391" s="3"/>
    </row>
    <row r="392" customFormat="false" ht="15.75" hidden="false" customHeight="false" outlineLevel="0" collapsed="false">
      <c r="B392" s="2"/>
      <c r="C392" s="2"/>
      <c r="D392" s="2"/>
      <c r="E392" s="2"/>
      <c r="H392" s="3"/>
    </row>
    <row r="393" customFormat="false" ht="15.75" hidden="false" customHeight="false" outlineLevel="0" collapsed="false">
      <c r="B393" s="2"/>
      <c r="C393" s="2"/>
      <c r="D393" s="2"/>
      <c r="E393" s="2"/>
      <c r="H393" s="3"/>
    </row>
    <row r="394" customFormat="false" ht="15.75" hidden="false" customHeight="false" outlineLevel="0" collapsed="false">
      <c r="B394" s="2"/>
      <c r="C394" s="2"/>
      <c r="D394" s="2"/>
      <c r="E394" s="2"/>
      <c r="H394" s="3"/>
    </row>
    <row r="395" customFormat="false" ht="15.75" hidden="false" customHeight="false" outlineLevel="0" collapsed="false">
      <c r="B395" s="2"/>
      <c r="C395" s="2"/>
      <c r="D395" s="2"/>
      <c r="E395" s="2"/>
      <c r="H395" s="3"/>
    </row>
    <row r="396" customFormat="false" ht="15.75" hidden="false" customHeight="false" outlineLevel="0" collapsed="false">
      <c r="B396" s="2"/>
      <c r="C396" s="2"/>
      <c r="D396" s="2"/>
      <c r="E396" s="2"/>
      <c r="H396" s="3"/>
    </row>
    <row r="397" customFormat="false" ht="15.75" hidden="false" customHeight="false" outlineLevel="0" collapsed="false">
      <c r="B397" s="2"/>
      <c r="C397" s="2"/>
      <c r="D397" s="2"/>
      <c r="E397" s="2"/>
      <c r="H397" s="3"/>
    </row>
    <row r="398" customFormat="false" ht="15.75" hidden="false" customHeight="false" outlineLevel="0" collapsed="false">
      <c r="B398" s="2"/>
      <c r="C398" s="2"/>
      <c r="D398" s="2"/>
      <c r="E398" s="2"/>
      <c r="H398" s="3"/>
    </row>
    <row r="399" customFormat="false" ht="15.75" hidden="false" customHeight="false" outlineLevel="0" collapsed="false">
      <c r="B399" s="2"/>
      <c r="C399" s="2"/>
      <c r="D399" s="2"/>
      <c r="E399" s="2"/>
      <c r="H399" s="3"/>
    </row>
    <row r="400" customFormat="false" ht="15.75" hidden="false" customHeight="false" outlineLevel="0" collapsed="false">
      <c r="B400" s="2"/>
      <c r="C400" s="2"/>
      <c r="D400" s="2"/>
      <c r="E400" s="2"/>
      <c r="H400" s="3"/>
    </row>
    <row r="401" customFormat="false" ht="15.75" hidden="false" customHeight="false" outlineLevel="0" collapsed="false">
      <c r="B401" s="2"/>
      <c r="C401" s="2"/>
      <c r="D401" s="2"/>
      <c r="E401" s="2"/>
      <c r="H401" s="3"/>
    </row>
    <row r="402" customFormat="false" ht="15.75" hidden="false" customHeight="false" outlineLevel="0" collapsed="false">
      <c r="B402" s="2"/>
      <c r="C402" s="2"/>
      <c r="D402" s="2"/>
      <c r="E402" s="2"/>
      <c r="H402" s="3"/>
    </row>
    <row r="403" customFormat="false" ht="15.75" hidden="false" customHeight="false" outlineLevel="0" collapsed="false">
      <c r="B403" s="2"/>
      <c r="C403" s="2"/>
      <c r="D403" s="2"/>
      <c r="E403" s="2"/>
      <c r="H403" s="3"/>
    </row>
    <row r="404" customFormat="false" ht="15.75" hidden="false" customHeight="false" outlineLevel="0" collapsed="false">
      <c r="B404" s="2"/>
      <c r="C404" s="2"/>
      <c r="D404" s="2"/>
      <c r="E404" s="2"/>
      <c r="H404" s="3"/>
    </row>
    <row r="405" customFormat="false" ht="15.75" hidden="false" customHeight="false" outlineLevel="0" collapsed="false">
      <c r="B405" s="2"/>
      <c r="C405" s="2"/>
      <c r="D405" s="2"/>
      <c r="E405" s="2"/>
      <c r="H405" s="3"/>
    </row>
    <row r="406" customFormat="false" ht="15.75" hidden="false" customHeight="false" outlineLevel="0" collapsed="false">
      <c r="B406" s="2"/>
      <c r="C406" s="2"/>
      <c r="D406" s="2"/>
      <c r="E406" s="2"/>
      <c r="H406" s="3"/>
    </row>
    <row r="407" customFormat="false" ht="15.75" hidden="false" customHeight="false" outlineLevel="0" collapsed="false">
      <c r="B407" s="2"/>
      <c r="C407" s="2"/>
      <c r="D407" s="2"/>
      <c r="E407" s="2"/>
      <c r="H407" s="3"/>
    </row>
    <row r="408" customFormat="false" ht="15.75" hidden="false" customHeight="false" outlineLevel="0" collapsed="false">
      <c r="B408" s="2"/>
      <c r="C408" s="2"/>
      <c r="D408" s="2"/>
      <c r="E408" s="2"/>
      <c r="H408" s="3"/>
    </row>
    <row r="409" customFormat="false" ht="15.75" hidden="false" customHeight="false" outlineLevel="0" collapsed="false">
      <c r="B409" s="2"/>
      <c r="C409" s="2"/>
      <c r="D409" s="2"/>
      <c r="E409" s="2"/>
      <c r="H409" s="3"/>
    </row>
    <row r="410" customFormat="false" ht="15.75" hidden="false" customHeight="false" outlineLevel="0" collapsed="false">
      <c r="B410" s="2"/>
      <c r="C410" s="2"/>
      <c r="D410" s="2"/>
      <c r="E410" s="2"/>
      <c r="H410" s="3"/>
    </row>
    <row r="411" customFormat="false" ht="15.75" hidden="false" customHeight="false" outlineLevel="0" collapsed="false">
      <c r="B411" s="2"/>
      <c r="C411" s="2"/>
      <c r="D411" s="2"/>
      <c r="E411" s="2"/>
      <c r="H411" s="3"/>
    </row>
    <row r="412" customFormat="false" ht="15.75" hidden="false" customHeight="false" outlineLevel="0" collapsed="false">
      <c r="B412" s="2"/>
      <c r="C412" s="2"/>
      <c r="D412" s="2"/>
      <c r="E412" s="2"/>
      <c r="H412" s="3"/>
    </row>
    <row r="413" customFormat="false" ht="15.75" hidden="false" customHeight="false" outlineLevel="0" collapsed="false">
      <c r="B413" s="2"/>
      <c r="C413" s="2"/>
      <c r="D413" s="2"/>
      <c r="E413" s="2"/>
      <c r="H413" s="3"/>
    </row>
    <row r="414" customFormat="false" ht="15.75" hidden="false" customHeight="false" outlineLevel="0" collapsed="false">
      <c r="B414" s="2"/>
      <c r="C414" s="2"/>
      <c r="D414" s="2"/>
      <c r="E414" s="2"/>
      <c r="H414" s="3"/>
    </row>
    <row r="415" customFormat="false" ht="15.75" hidden="false" customHeight="false" outlineLevel="0" collapsed="false">
      <c r="B415" s="2"/>
      <c r="C415" s="2"/>
      <c r="D415" s="2"/>
      <c r="E415" s="2"/>
      <c r="H415" s="3"/>
    </row>
    <row r="416" customFormat="false" ht="15.75" hidden="false" customHeight="false" outlineLevel="0" collapsed="false">
      <c r="B416" s="2"/>
      <c r="C416" s="2"/>
      <c r="D416" s="2"/>
      <c r="E416" s="2"/>
      <c r="H416" s="3"/>
    </row>
    <row r="417" customFormat="false" ht="15.75" hidden="false" customHeight="false" outlineLevel="0" collapsed="false">
      <c r="B417" s="2"/>
      <c r="C417" s="2"/>
      <c r="D417" s="2"/>
      <c r="E417" s="2"/>
      <c r="H417" s="3"/>
    </row>
    <row r="418" customFormat="false" ht="15.75" hidden="false" customHeight="false" outlineLevel="0" collapsed="false">
      <c r="B418" s="2"/>
      <c r="C418" s="2"/>
      <c r="D418" s="2"/>
      <c r="E418" s="2"/>
      <c r="H418" s="3"/>
    </row>
    <row r="419" customFormat="false" ht="15.75" hidden="false" customHeight="false" outlineLevel="0" collapsed="false">
      <c r="B419" s="2"/>
      <c r="C419" s="2"/>
      <c r="D419" s="2"/>
      <c r="E419" s="2"/>
      <c r="H419" s="3"/>
    </row>
    <row r="420" customFormat="false" ht="15.75" hidden="false" customHeight="false" outlineLevel="0" collapsed="false">
      <c r="B420" s="2"/>
      <c r="C420" s="2"/>
      <c r="D420" s="2"/>
      <c r="E420" s="2"/>
      <c r="H420" s="3"/>
    </row>
    <row r="421" customFormat="false" ht="15.75" hidden="false" customHeight="false" outlineLevel="0" collapsed="false">
      <c r="B421" s="2"/>
      <c r="C421" s="2"/>
      <c r="D421" s="2"/>
      <c r="E421" s="2"/>
      <c r="H421" s="3"/>
    </row>
    <row r="422" customFormat="false" ht="15.75" hidden="false" customHeight="false" outlineLevel="0" collapsed="false">
      <c r="B422" s="2"/>
      <c r="C422" s="2"/>
      <c r="D422" s="2"/>
      <c r="E422" s="2"/>
      <c r="H422" s="3"/>
    </row>
    <row r="423" customFormat="false" ht="15.75" hidden="false" customHeight="false" outlineLevel="0" collapsed="false">
      <c r="B423" s="2"/>
      <c r="C423" s="2"/>
      <c r="D423" s="2"/>
      <c r="E423" s="2"/>
      <c r="H423" s="3"/>
    </row>
    <row r="424" customFormat="false" ht="15.75" hidden="false" customHeight="false" outlineLevel="0" collapsed="false">
      <c r="B424" s="2"/>
      <c r="C424" s="2"/>
      <c r="D424" s="2"/>
      <c r="E424" s="2"/>
      <c r="H424" s="3"/>
    </row>
    <row r="425" customFormat="false" ht="15.75" hidden="false" customHeight="false" outlineLevel="0" collapsed="false">
      <c r="B425" s="2"/>
      <c r="C425" s="2"/>
      <c r="D425" s="2"/>
      <c r="E425" s="2"/>
      <c r="H425" s="3"/>
    </row>
    <row r="426" customFormat="false" ht="15.75" hidden="false" customHeight="false" outlineLevel="0" collapsed="false">
      <c r="B426" s="2"/>
      <c r="C426" s="2"/>
      <c r="D426" s="2"/>
      <c r="E426" s="2"/>
      <c r="H426" s="3"/>
    </row>
    <row r="427" customFormat="false" ht="15.75" hidden="false" customHeight="false" outlineLevel="0" collapsed="false">
      <c r="B427" s="2"/>
      <c r="C427" s="2"/>
      <c r="D427" s="2"/>
      <c r="E427" s="2"/>
      <c r="H427" s="3"/>
    </row>
    <row r="428" customFormat="false" ht="15.75" hidden="false" customHeight="false" outlineLevel="0" collapsed="false">
      <c r="B428" s="2"/>
      <c r="C428" s="2"/>
      <c r="D428" s="2"/>
      <c r="E428" s="2"/>
      <c r="H428" s="3"/>
    </row>
    <row r="429" customFormat="false" ht="15.75" hidden="false" customHeight="false" outlineLevel="0" collapsed="false">
      <c r="B429" s="2"/>
      <c r="C429" s="2"/>
      <c r="D429" s="2"/>
      <c r="E429" s="2"/>
      <c r="H429" s="3"/>
    </row>
    <row r="430" customFormat="false" ht="15.75" hidden="false" customHeight="false" outlineLevel="0" collapsed="false">
      <c r="B430" s="2"/>
      <c r="C430" s="2"/>
      <c r="D430" s="2"/>
      <c r="E430" s="2"/>
      <c r="H430" s="3"/>
    </row>
    <row r="431" customFormat="false" ht="15.75" hidden="false" customHeight="false" outlineLevel="0" collapsed="false">
      <c r="B431" s="2"/>
      <c r="C431" s="2"/>
      <c r="D431" s="2"/>
      <c r="E431" s="2"/>
      <c r="H431" s="3"/>
    </row>
    <row r="432" customFormat="false" ht="15.75" hidden="false" customHeight="false" outlineLevel="0" collapsed="false">
      <c r="B432" s="2"/>
      <c r="C432" s="2"/>
      <c r="D432" s="2"/>
      <c r="E432" s="2"/>
      <c r="H432" s="3"/>
    </row>
    <row r="433" customFormat="false" ht="15.75" hidden="false" customHeight="false" outlineLevel="0" collapsed="false">
      <c r="B433" s="2"/>
      <c r="C433" s="2"/>
      <c r="D433" s="2"/>
      <c r="E433" s="2"/>
      <c r="H433" s="3"/>
    </row>
    <row r="434" customFormat="false" ht="15.75" hidden="false" customHeight="false" outlineLevel="0" collapsed="false">
      <c r="B434" s="2"/>
      <c r="C434" s="2"/>
      <c r="D434" s="2"/>
      <c r="E434" s="2"/>
      <c r="H434" s="3"/>
    </row>
    <row r="435" customFormat="false" ht="15.75" hidden="false" customHeight="false" outlineLevel="0" collapsed="false">
      <c r="B435" s="2"/>
      <c r="C435" s="2"/>
      <c r="D435" s="2"/>
      <c r="E435" s="2"/>
      <c r="H435" s="3"/>
    </row>
    <row r="436" customFormat="false" ht="15.75" hidden="false" customHeight="false" outlineLevel="0" collapsed="false">
      <c r="B436" s="2"/>
      <c r="C436" s="2"/>
      <c r="D436" s="2"/>
      <c r="E436" s="2"/>
      <c r="H436" s="3"/>
    </row>
    <row r="437" customFormat="false" ht="15.75" hidden="false" customHeight="false" outlineLevel="0" collapsed="false">
      <c r="B437" s="2"/>
      <c r="C437" s="2"/>
      <c r="D437" s="2"/>
      <c r="E437" s="2"/>
      <c r="H437" s="3"/>
    </row>
    <row r="438" customFormat="false" ht="15.75" hidden="false" customHeight="false" outlineLevel="0" collapsed="false">
      <c r="B438" s="2"/>
      <c r="C438" s="2"/>
      <c r="D438" s="2"/>
      <c r="E438" s="2"/>
      <c r="H438" s="3"/>
    </row>
    <row r="439" customFormat="false" ht="15.75" hidden="false" customHeight="false" outlineLevel="0" collapsed="false">
      <c r="B439" s="2"/>
      <c r="C439" s="2"/>
      <c r="D439" s="2"/>
      <c r="E439" s="2"/>
      <c r="H439" s="3"/>
    </row>
    <row r="440" customFormat="false" ht="15.75" hidden="false" customHeight="false" outlineLevel="0" collapsed="false">
      <c r="B440" s="2"/>
      <c r="C440" s="2"/>
      <c r="D440" s="2"/>
      <c r="E440" s="2"/>
      <c r="H440" s="3"/>
    </row>
    <row r="441" customFormat="false" ht="15.75" hidden="false" customHeight="false" outlineLevel="0" collapsed="false">
      <c r="B441" s="2"/>
      <c r="C441" s="2"/>
      <c r="D441" s="2"/>
      <c r="E441" s="2"/>
      <c r="H441" s="3"/>
    </row>
    <row r="442" customFormat="false" ht="15.75" hidden="false" customHeight="false" outlineLevel="0" collapsed="false">
      <c r="B442" s="2"/>
      <c r="C442" s="2"/>
      <c r="D442" s="2"/>
      <c r="E442" s="2"/>
      <c r="H442" s="3"/>
    </row>
    <row r="443" customFormat="false" ht="15.75" hidden="false" customHeight="false" outlineLevel="0" collapsed="false">
      <c r="B443" s="2"/>
      <c r="C443" s="2"/>
      <c r="D443" s="2"/>
      <c r="E443" s="2"/>
      <c r="H443" s="3"/>
    </row>
    <row r="444" customFormat="false" ht="15.75" hidden="false" customHeight="false" outlineLevel="0" collapsed="false">
      <c r="B444" s="2"/>
      <c r="C444" s="2"/>
      <c r="D444" s="2"/>
      <c r="E444" s="2"/>
      <c r="H444" s="3"/>
    </row>
    <row r="445" customFormat="false" ht="15.75" hidden="false" customHeight="false" outlineLevel="0" collapsed="false">
      <c r="B445" s="2"/>
      <c r="C445" s="2"/>
      <c r="D445" s="2"/>
      <c r="E445" s="2"/>
      <c r="H445" s="3"/>
    </row>
    <row r="446" customFormat="false" ht="15.75" hidden="false" customHeight="false" outlineLevel="0" collapsed="false">
      <c r="B446" s="2"/>
      <c r="C446" s="2"/>
      <c r="D446" s="2"/>
      <c r="E446" s="2"/>
      <c r="H446" s="3"/>
    </row>
    <row r="447" customFormat="false" ht="15.75" hidden="false" customHeight="false" outlineLevel="0" collapsed="false">
      <c r="B447" s="2"/>
      <c r="C447" s="2"/>
      <c r="D447" s="2"/>
      <c r="E447" s="2"/>
      <c r="H447" s="3"/>
    </row>
    <row r="448" customFormat="false" ht="15.75" hidden="false" customHeight="false" outlineLevel="0" collapsed="false">
      <c r="B448" s="2"/>
      <c r="C448" s="2"/>
      <c r="D448" s="2"/>
      <c r="E448" s="2"/>
      <c r="H448" s="3"/>
    </row>
    <row r="449" customFormat="false" ht="15.75" hidden="false" customHeight="false" outlineLevel="0" collapsed="false">
      <c r="B449" s="2"/>
      <c r="C449" s="2"/>
      <c r="D449" s="2"/>
      <c r="E449" s="2"/>
      <c r="H449" s="3"/>
    </row>
    <row r="450" customFormat="false" ht="15.75" hidden="false" customHeight="false" outlineLevel="0" collapsed="false">
      <c r="B450" s="2"/>
      <c r="C450" s="2"/>
      <c r="D450" s="2"/>
      <c r="E450" s="2"/>
      <c r="H450" s="3"/>
    </row>
    <row r="451" customFormat="false" ht="15.75" hidden="false" customHeight="false" outlineLevel="0" collapsed="false">
      <c r="B451" s="2"/>
      <c r="C451" s="2"/>
      <c r="D451" s="2"/>
      <c r="E451" s="2"/>
      <c r="H451" s="3"/>
    </row>
    <row r="452" customFormat="false" ht="15.75" hidden="false" customHeight="false" outlineLevel="0" collapsed="false">
      <c r="B452" s="2"/>
      <c r="C452" s="2"/>
      <c r="D452" s="2"/>
      <c r="E452" s="2"/>
      <c r="H452" s="3"/>
    </row>
    <row r="453" customFormat="false" ht="15.75" hidden="false" customHeight="false" outlineLevel="0" collapsed="false">
      <c r="B453" s="2"/>
      <c r="C453" s="2"/>
      <c r="D453" s="2"/>
      <c r="E453" s="2"/>
      <c r="H453" s="3"/>
    </row>
    <row r="454" customFormat="false" ht="15.75" hidden="false" customHeight="false" outlineLevel="0" collapsed="false">
      <c r="B454" s="2"/>
      <c r="C454" s="2"/>
      <c r="D454" s="2"/>
      <c r="E454" s="2"/>
      <c r="H454" s="3"/>
    </row>
    <row r="455" customFormat="false" ht="15.75" hidden="false" customHeight="false" outlineLevel="0" collapsed="false">
      <c r="B455" s="2"/>
      <c r="C455" s="2"/>
      <c r="D455" s="2"/>
      <c r="E455" s="2"/>
      <c r="H455" s="3"/>
    </row>
    <row r="456" customFormat="false" ht="15.75" hidden="false" customHeight="false" outlineLevel="0" collapsed="false">
      <c r="B456" s="2"/>
      <c r="C456" s="2"/>
      <c r="D456" s="2"/>
      <c r="E456" s="2"/>
      <c r="H456" s="3"/>
    </row>
    <row r="457" customFormat="false" ht="15.75" hidden="false" customHeight="false" outlineLevel="0" collapsed="false">
      <c r="B457" s="2"/>
      <c r="C457" s="2"/>
      <c r="D457" s="2"/>
      <c r="E457" s="2"/>
      <c r="H457" s="3"/>
    </row>
    <row r="458" customFormat="false" ht="15.75" hidden="false" customHeight="false" outlineLevel="0" collapsed="false">
      <c r="B458" s="2"/>
      <c r="C458" s="2"/>
      <c r="D458" s="2"/>
      <c r="E458" s="2"/>
      <c r="H458" s="3"/>
    </row>
    <row r="459" customFormat="false" ht="15.75" hidden="false" customHeight="false" outlineLevel="0" collapsed="false">
      <c r="B459" s="2"/>
      <c r="C459" s="2"/>
      <c r="D459" s="2"/>
      <c r="E459" s="2"/>
      <c r="H459" s="3"/>
    </row>
    <row r="460" customFormat="false" ht="15.75" hidden="false" customHeight="false" outlineLevel="0" collapsed="false">
      <c r="B460" s="2"/>
      <c r="C460" s="2"/>
      <c r="D460" s="2"/>
      <c r="E460" s="2"/>
      <c r="H460" s="3"/>
    </row>
    <row r="461" customFormat="false" ht="15.75" hidden="false" customHeight="false" outlineLevel="0" collapsed="false">
      <c r="B461" s="2"/>
      <c r="C461" s="2"/>
      <c r="D461" s="2"/>
      <c r="E461" s="2"/>
      <c r="H461" s="3"/>
    </row>
    <row r="462" customFormat="false" ht="15.75" hidden="false" customHeight="false" outlineLevel="0" collapsed="false">
      <c r="B462" s="2"/>
      <c r="C462" s="2"/>
      <c r="D462" s="2"/>
      <c r="E462" s="2"/>
      <c r="H462" s="3"/>
    </row>
    <row r="463" customFormat="false" ht="15.75" hidden="false" customHeight="false" outlineLevel="0" collapsed="false">
      <c r="B463" s="2"/>
      <c r="C463" s="2"/>
      <c r="D463" s="2"/>
      <c r="E463" s="2"/>
      <c r="H463" s="3"/>
    </row>
    <row r="464" customFormat="false" ht="15.75" hidden="false" customHeight="false" outlineLevel="0" collapsed="false">
      <c r="B464" s="2"/>
      <c r="C464" s="2"/>
      <c r="D464" s="2"/>
      <c r="E464" s="2"/>
      <c r="H464" s="3"/>
    </row>
    <row r="465" customFormat="false" ht="15.75" hidden="false" customHeight="false" outlineLevel="0" collapsed="false">
      <c r="B465" s="2"/>
      <c r="C465" s="2"/>
      <c r="D465" s="2"/>
      <c r="E465" s="2"/>
      <c r="H465" s="3"/>
    </row>
    <row r="466" customFormat="false" ht="15.75" hidden="false" customHeight="false" outlineLevel="0" collapsed="false">
      <c r="B466" s="2"/>
      <c r="C466" s="2"/>
      <c r="D466" s="2"/>
      <c r="E466" s="2"/>
      <c r="H466" s="3"/>
    </row>
    <row r="467" customFormat="false" ht="15.75" hidden="false" customHeight="false" outlineLevel="0" collapsed="false">
      <c r="B467" s="2"/>
      <c r="C467" s="2"/>
      <c r="D467" s="2"/>
      <c r="E467" s="2"/>
      <c r="H467" s="3"/>
    </row>
    <row r="468" customFormat="false" ht="15.75" hidden="false" customHeight="false" outlineLevel="0" collapsed="false">
      <c r="B468" s="2"/>
      <c r="C468" s="2"/>
      <c r="D468" s="2"/>
      <c r="E468" s="2"/>
      <c r="H468" s="3"/>
    </row>
    <row r="469" customFormat="false" ht="15.75" hidden="false" customHeight="false" outlineLevel="0" collapsed="false">
      <c r="B469" s="2"/>
      <c r="C469" s="2"/>
      <c r="D469" s="2"/>
      <c r="E469" s="2"/>
      <c r="H469" s="3"/>
    </row>
    <row r="470" customFormat="false" ht="15.75" hidden="false" customHeight="false" outlineLevel="0" collapsed="false">
      <c r="B470" s="2"/>
      <c r="C470" s="2"/>
      <c r="D470" s="2"/>
      <c r="E470" s="2"/>
      <c r="H470" s="3"/>
    </row>
    <row r="471" customFormat="false" ht="15.75" hidden="false" customHeight="false" outlineLevel="0" collapsed="false">
      <c r="B471" s="2"/>
      <c r="C471" s="2"/>
      <c r="D471" s="2"/>
      <c r="E471" s="2"/>
      <c r="H471" s="3"/>
    </row>
    <row r="472" customFormat="false" ht="15.75" hidden="false" customHeight="false" outlineLevel="0" collapsed="false">
      <c r="B472" s="2"/>
      <c r="C472" s="2"/>
      <c r="D472" s="2"/>
      <c r="E472" s="2"/>
      <c r="H472" s="3"/>
    </row>
    <row r="473" customFormat="false" ht="15.75" hidden="false" customHeight="false" outlineLevel="0" collapsed="false">
      <c r="B473" s="2"/>
      <c r="C473" s="2"/>
      <c r="D473" s="2"/>
      <c r="E473" s="2"/>
      <c r="H473" s="3"/>
    </row>
    <row r="474" customFormat="false" ht="15.75" hidden="false" customHeight="false" outlineLevel="0" collapsed="false">
      <c r="B474" s="2"/>
      <c r="C474" s="2"/>
      <c r="D474" s="2"/>
      <c r="E474" s="2"/>
      <c r="H474" s="3"/>
    </row>
    <row r="475" customFormat="false" ht="15.75" hidden="false" customHeight="false" outlineLevel="0" collapsed="false">
      <c r="B475" s="2"/>
      <c r="C475" s="2"/>
      <c r="D475" s="2"/>
      <c r="E475" s="2"/>
      <c r="H475" s="3"/>
    </row>
    <row r="476" customFormat="false" ht="15.75" hidden="false" customHeight="false" outlineLevel="0" collapsed="false">
      <c r="B476" s="2"/>
      <c r="C476" s="2"/>
      <c r="D476" s="2"/>
      <c r="E476" s="2"/>
      <c r="H476" s="3"/>
    </row>
    <row r="477" customFormat="false" ht="15.75" hidden="false" customHeight="false" outlineLevel="0" collapsed="false">
      <c r="B477" s="2"/>
      <c r="C477" s="2"/>
      <c r="D477" s="2"/>
      <c r="E477" s="2"/>
      <c r="H477" s="3"/>
    </row>
    <row r="478" customFormat="false" ht="15.75" hidden="false" customHeight="false" outlineLevel="0" collapsed="false">
      <c r="B478" s="2"/>
      <c r="C478" s="2"/>
      <c r="D478" s="2"/>
      <c r="E478" s="2"/>
      <c r="H478" s="3"/>
    </row>
    <row r="479" customFormat="false" ht="15.75" hidden="false" customHeight="false" outlineLevel="0" collapsed="false">
      <c r="B479" s="2"/>
      <c r="C479" s="2"/>
      <c r="D479" s="2"/>
      <c r="E479" s="2"/>
      <c r="H479" s="3"/>
    </row>
    <row r="480" customFormat="false" ht="15.75" hidden="false" customHeight="false" outlineLevel="0" collapsed="false">
      <c r="B480" s="2"/>
      <c r="C480" s="2"/>
      <c r="D480" s="2"/>
      <c r="E480" s="2"/>
      <c r="H480" s="3"/>
    </row>
    <row r="481" customFormat="false" ht="15.75" hidden="false" customHeight="false" outlineLevel="0" collapsed="false">
      <c r="B481" s="2"/>
      <c r="C481" s="2"/>
      <c r="D481" s="2"/>
      <c r="E481" s="2"/>
      <c r="H481" s="3"/>
    </row>
    <row r="482" customFormat="false" ht="15.75" hidden="false" customHeight="false" outlineLevel="0" collapsed="false">
      <c r="B482" s="2"/>
      <c r="C482" s="2"/>
      <c r="D482" s="2"/>
      <c r="E482" s="2"/>
      <c r="H482" s="3"/>
    </row>
    <row r="483" customFormat="false" ht="15.75" hidden="false" customHeight="false" outlineLevel="0" collapsed="false">
      <c r="B483" s="2"/>
      <c r="C483" s="2"/>
      <c r="D483" s="2"/>
      <c r="E483" s="2"/>
      <c r="H483" s="3"/>
    </row>
    <row r="484" customFormat="false" ht="15.75" hidden="false" customHeight="false" outlineLevel="0" collapsed="false">
      <c r="B484" s="2"/>
      <c r="C484" s="2"/>
      <c r="D484" s="2"/>
      <c r="E484" s="2"/>
      <c r="H484" s="3"/>
    </row>
    <row r="485" customFormat="false" ht="15.75" hidden="false" customHeight="false" outlineLevel="0" collapsed="false">
      <c r="B485" s="2"/>
      <c r="C485" s="2"/>
      <c r="D485" s="2"/>
      <c r="E485" s="2"/>
      <c r="H485" s="3"/>
    </row>
    <row r="486" customFormat="false" ht="15.75" hidden="false" customHeight="false" outlineLevel="0" collapsed="false">
      <c r="B486" s="2"/>
      <c r="C486" s="2"/>
      <c r="D486" s="2"/>
      <c r="E486" s="2"/>
      <c r="H486" s="3"/>
    </row>
    <row r="487" customFormat="false" ht="15.75" hidden="false" customHeight="false" outlineLevel="0" collapsed="false">
      <c r="B487" s="2"/>
      <c r="C487" s="2"/>
      <c r="D487" s="2"/>
      <c r="E487" s="2"/>
      <c r="H487" s="3"/>
    </row>
    <row r="488" customFormat="false" ht="15.75" hidden="false" customHeight="false" outlineLevel="0" collapsed="false">
      <c r="B488" s="2"/>
      <c r="C488" s="2"/>
      <c r="D488" s="2"/>
      <c r="E488" s="2"/>
      <c r="H488" s="3"/>
    </row>
    <row r="489" customFormat="false" ht="15.75" hidden="false" customHeight="false" outlineLevel="0" collapsed="false">
      <c r="B489" s="2"/>
      <c r="C489" s="2"/>
      <c r="D489" s="2"/>
      <c r="E489" s="2"/>
      <c r="H489" s="3"/>
    </row>
    <row r="490" customFormat="false" ht="15.75" hidden="false" customHeight="false" outlineLevel="0" collapsed="false">
      <c r="B490" s="2"/>
      <c r="C490" s="2"/>
      <c r="D490" s="2"/>
      <c r="E490" s="2"/>
      <c r="H490" s="3"/>
    </row>
    <row r="491" customFormat="false" ht="15.75" hidden="false" customHeight="false" outlineLevel="0" collapsed="false">
      <c r="B491" s="2"/>
      <c r="C491" s="2"/>
      <c r="D491" s="2"/>
      <c r="E491" s="2"/>
      <c r="H491" s="3"/>
    </row>
    <row r="492" customFormat="false" ht="15.75" hidden="false" customHeight="false" outlineLevel="0" collapsed="false">
      <c r="B492" s="2"/>
      <c r="C492" s="2"/>
      <c r="D492" s="2"/>
      <c r="E492" s="2"/>
      <c r="H492" s="3"/>
    </row>
    <row r="493" customFormat="false" ht="15.75" hidden="false" customHeight="false" outlineLevel="0" collapsed="false">
      <c r="B493" s="2"/>
      <c r="C493" s="2"/>
      <c r="D493" s="2"/>
      <c r="E493" s="2"/>
      <c r="H493" s="3"/>
    </row>
    <row r="494" customFormat="false" ht="15.75" hidden="false" customHeight="false" outlineLevel="0" collapsed="false">
      <c r="B494" s="2"/>
      <c r="C494" s="2"/>
      <c r="D494" s="2"/>
      <c r="E494" s="2"/>
      <c r="H494" s="3"/>
    </row>
    <row r="495" customFormat="false" ht="15.75" hidden="false" customHeight="false" outlineLevel="0" collapsed="false">
      <c r="B495" s="2"/>
      <c r="C495" s="2"/>
      <c r="D495" s="2"/>
      <c r="E495" s="2"/>
      <c r="H495" s="3"/>
    </row>
    <row r="496" customFormat="false" ht="15.75" hidden="false" customHeight="false" outlineLevel="0" collapsed="false">
      <c r="B496" s="2"/>
      <c r="C496" s="2"/>
      <c r="D496" s="2"/>
      <c r="E496" s="2"/>
      <c r="H496" s="3"/>
    </row>
    <row r="497" customFormat="false" ht="15.75" hidden="false" customHeight="false" outlineLevel="0" collapsed="false">
      <c r="B497" s="2"/>
      <c r="C497" s="2"/>
      <c r="D497" s="2"/>
      <c r="E497" s="2"/>
      <c r="H497" s="3"/>
    </row>
    <row r="498" customFormat="false" ht="15.75" hidden="false" customHeight="false" outlineLevel="0" collapsed="false">
      <c r="B498" s="2"/>
      <c r="C498" s="2"/>
      <c r="D498" s="2"/>
      <c r="E498" s="2"/>
      <c r="H498" s="3"/>
    </row>
    <row r="499" customFormat="false" ht="15.75" hidden="false" customHeight="false" outlineLevel="0" collapsed="false">
      <c r="B499" s="2"/>
      <c r="C499" s="2"/>
      <c r="D499" s="2"/>
      <c r="E499" s="2"/>
      <c r="H499" s="3"/>
    </row>
    <row r="500" customFormat="false" ht="15.75" hidden="false" customHeight="false" outlineLevel="0" collapsed="false">
      <c r="B500" s="2"/>
      <c r="C500" s="2"/>
      <c r="D500" s="2"/>
      <c r="E500" s="2"/>
      <c r="H500" s="3"/>
    </row>
    <row r="501" customFormat="false" ht="15.75" hidden="false" customHeight="false" outlineLevel="0" collapsed="false">
      <c r="B501" s="2"/>
      <c r="C501" s="2"/>
      <c r="D501" s="2"/>
      <c r="E501" s="2"/>
      <c r="H501" s="3"/>
    </row>
    <row r="502" customFormat="false" ht="15.75" hidden="false" customHeight="false" outlineLevel="0" collapsed="false">
      <c r="B502" s="2"/>
      <c r="C502" s="2"/>
      <c r="D502" s="2"/>
      <c r="E502" s="2"/>
      <c r="H502" s="3"/>
    </row>
    <row r="503" customFormat="false" ht="15.75" hidden="false" customHeight="false" outlineLevel="0" collapsed="false">
      <c r="B503" s="2"/>
      <c r="C503" s="2"/>
      <c r="D503" s="2"/>
      <c r="E503" s="2"/>
      <c r="H503" s="3"/>
    </row>
    <row r="504" customFormat="false" ht="15.75" hidden="false" customHeight="false" outlineLevel="0" collapsed="false">
      <c r="B504" s="2"/>
      <c r="C504" s="2"/>
      <c r="D504" s="2"/>
      <c r="E504" s="2"/>
      <c r="H504" s="3"/>
    </row>
    <row r="505" customFormat="false" ht="15.75" hidden="false" customHeight="false" outlineLevel="0" collapsed="false">
      <c r="B505" s="2"/>
      <c r="C505" s="2"/>
      <c r="D505" s="2"/>
      <c r="E505" s="2"/>
      <c r="H505" s="3"/>
    </row>
    <row r="506" customFormat="false" ht="15.75" hidden="false" customHeight="false" outlineLevel="0" collapsed="false">
      <c r="B506" s="2"/>
      <c r="C506" s="2"/>
      <c r="D506" s="2"/>
      <c r="E506" s="2"/>
      <c r="H506" s="3"/>
    </row>
    <row r="507" customFormat="false" ht="15.75" hidden="false" customHeight="false" outlineLevel="0" collapsed="false">
      <c r="B507" s="2"/>
      <c r="C507" s="2"/>
      <c r="D507" s="2"/>
      <c r="E507" s="2"/>
      <c r="H507" s="3"/>
    </row>
    <row r="508" customFormat="false" ht="15.75" hidden="false" customHeight="false" outlineLevel="0" collapsed="false">
      <c r="B508" s="2"/>
      <c r="C508" s="2"/>
      <c r="D508" s="2"/>
      <c r="E508" s="2"/>
      <c r="H508" s="3"/>
    </row>
    <row r="509" customFormat="false" ht="15.75" hidden="false" customHeight="false" outlineLevel="0" collapsed="false">
      <c r="B509" s="2"/>
      <c r="C509" s="2"/>
      <c r="D509" s="2"/>
      <c r="E509" s="2"/>
      <c r="H509" s="3"/>
    </row>
    <row r="510" customFormat="false" ht="15.75" hidden="false" customHeight="false" outlineLevel="0" collapsed="false">
      <c r="B510" s="2"/>
      <c r="C510" s="2"/>
      <c r="D510" s="2"/>
      <c r="E510" s="2"/>
      <c r="H510" s="3"/>
    </row>
    <row r="511" customFormat="false" ht="15.75" hidden="false" customHeight="false" outlineLevel="0" collapsed="false">
      <c r="B511" s="2"/>
      <c r="C511" s="2"/>
      <c r="D511" s="2"/>
      <c r="E511" s="2"/>
      <c r="H511" s="3"/>
    </row>
    <row r="512" customFormat="false" ht="15.75" hidden="false" customHeight="false" outlineLevel="0" collapsed="false">
      <c r="B512" s="2"/>
      <c r="C512" s="2"/>
      <c r="D512" s="2"/>
      <c r="E512" s="2"/>
      <c r="H512" s="3"/>
    </row>
    <row r="513" customFormat="false" ht="15.75" hidden="false" customHeight="false" outlineLevel="0" collapsed="false">
      <c r="B513" s="2"/>
      <c r="C513" s="2"/>
      <c r="D513" s="2"/>
      <c r="E513" s="2"/>
      <c r="H513" s="3"/>
    </row>
    <row r="514" customFormat="false" ht="15.75" hidden="false" customHeight="false" outlineLevel="0" collapsed="false">
      <c r="B514" s="2"/>
      <c r="C514" s="2"/>
      <c r="D514" s="2"/>
      <c r="E514" s="2"/>
      <c r="H514" s="3"/>
    </row>
    <row r="515" customFormat="false" ht="15.75" hidden="false" customHeight="false" outlineLevel="0" collapsed="false">
      <c r="B515" s="2"/>
      <c r="C515" s="2"/>
      <c r="D515" s="2"/>
      <c r="E515" s="2"/>
      <c r="H515" s="3"/>
    </row>
    <row r="516" customFormat="false" ht="15.75" hidden="false" customHeight="false" outlineLevel="0" collapsed="false">
      <c r="B516" s="2"/>
      <c r="C516" s="2"/>
      <c r="D516" s="2"/>
      <c r="E516" s="2"/>
      <c r="H516" s="3"/>
    </row>
    <row r="517" customFormat="false" ht="15.75" hidden="false" customHeight="false" outlineLevel="0" collapsed="false">
      <c r="B517" s="2"/>
      <c r="C517" s="2"/>
      <c r="D517" s="2"/>
      <c r="E517" s="2"/>
      <c r="H517" s="3"/>
    </row>
    <row r="518" customFormat="false" ht="15.75" hidden="false" customHeight="false" outlineLevel="0" collapsed="false">
      <c r="B518" s="2"/>
      <c r="C518" s="2"/>
      <c r="D518" s="2"/>
      <c r="E518" s="2"/>
      <c r="H518" s="3"/>
    </row>
    <row r="519" customFormat="false" ht="15.75" hidden="false" customHeight="false" outlineLevel="0" collapsed="false">
      <c r="B519" s="2"/>
      <c r="C519" s="2"/>
      <c r="D519" s="2"/>
      <c r="E519" s="2"/>
      <c r="H519" s="3"/>
    </row>
    <row r="520" customFormat="false" ht="15.75" hidden="false" customHeight="false" outlineLevel="0" collapsed="false">
      <c r="B520" s="2"/>
      <c r="C520" s="2"/>
      <c r="D520" s="2"/>
      <c r="E520" s="2"/>
      <c r="H520" s="3"/>
    </row>
    <row r="521" customFormat="false" ht="15.75" hidden="false" customHeight="false" outlineLevel="0" collapsed="false">
      <c r="B521" s="2"/>
      <c r="C521" s="2"/>
      <c r="D521" s="2"/>
      <c r="E521" s="2"/>
      <c r="H521" s="3"/>
    </row>
    <row r="522" customFormat="false" ht="15.75" hidden="false" customHeight="false" outlineLevel="0" collapsed="false">
      <c r="B522" s="2"/>
      <c r="C522" s="2"/>
      <c r="D522" s="2"/>
      <c r="E522" s="2"/>
      <c r="H522" s="3"/>
    </row>
    <row r="523" customFormat="false" ht="15.75" hidden="false" customHeight="false" outlineLevel="0" collapsed="false">
      <c r="B523" s="2"/>
      <c r="C523" s="2"/>
      <c r="D523" s="2"/>
      <c r="E523" s="2"/>
      <c r="H523" s="3"/>
    </row>
    <row r="524" customFormat="false" ht="15.75" hidden="false" customHeight="false" outlineLevel="0" collapsed="false">
      <c r="B524" s="2"/>
      <c r="C524" s="2"/>
      <c r="D524" s="2"/>
      <c r="E524" s="2"/>
      <c r="H524" s="3"/>
    </row>
    <row r="525" customFormat="false" ht="15.75" hidden="false" customHeight="false" outlineLevel="0" collapsed="false">
      <c r="B525" s="2"/>
      <c r="C525" s="2"/>
      <c r="D525" s="2"/>
      <c r="E525" s="2"/>
      <c r="H525" s="3"/>
    </row>
    <row r="526" customFormat="false" ht="15.75" hidden="false" customHeight="false" outlineLevel="0" collapsed="false">
      <c r="B526" s="2"/>
      <c r="C526" s="2"/>
      <c r="D526" s="2"/>
      <c r="E526" s="2"/>
      <c r="H526" s="3"/>
    </row>
    <row r="527" customFormat="false" ht="15.75" hidden="false" customHeight="false" outlineLevel="0" collapsed="false">
      <c r="B527" s="2"/>
      <c r="C527" s="2"/>
      <c r="D527" s="2"/>
      <c r="E527" s="2"/>
      <c r="H527" s="3"/>
    </row>
    <row r="528" customFormat="false" ht="15.75" hidden="false" customHeight="false" outlineLevel="0" collapsed="false">
      <c r="B528" s="2"/>
      <c r="C528" s="2"/>
      <c r="D528" s="2"/>
      <c r="E528" s="2"/>
      <c r="H528" s="3"/>
    </row>
    <row r="529" customFormat="false" ht="15.75" hidden="false" customHeight="false" outlineLevel="0" collapsed="false">
      <c r="B529" s="2"/>
      <c r="C529" s="2"/>
      <c r="D529" s="2"/>
      <c r="E529" s="2"/>
      <c r="H529" s="3"/>
    </row>
    <row r="530" customFormat="false" ht="15.75" hidden="false" customHeight="false" outlineLevel="0" collapsed="false">
      <c r="B530" s="2"/>
      <c r="C530" s="2"/>
      <c r="D530" s="2"/>
      <c r="E530" s="2"/>
      <c r="H530" s="3"/>
    </row>
    <row r="531" customFormat="false" ht="15.75" hidden="false" customHeight="false" outlineLevel="0" collapsed="false">
      <c r="B531" s="2"/>
      <c r="C531" s="2"/>
      <c r="D531" s="2"/>
      <c r="E531" s="2"/>
      <c r="H531" s="3"/>
    </row>
    <row r="532" customFormat="false" ht="15.75" hidden="false" customHeight="false" outlineLevel="0" collapsed="false">
      <c r="B532" s="2"/>
      <c r="C532" s="2"/>
      <c r="D532" s="2"/>
      <c r="E532" s="2"/>
      <c r="H532" s="3"/>
    </row>
    <row r="533" customFormat="false" ht="15.75" hidden="false" customHeight="false" outlineLevel="0" collapsed="false">
      <c r="B533" s="2"/>
      <c r="C533" s="2"/>
      <c r="D533" s="2"/>
      <c r="E533" s="2"/>
      <c r="H533" s="3"/>
    </row>
    <row r="534" customFormat="false" ht="15.75" hidden="false" customHeight="false" outlineLevel="0" collapsed="false">
      <c r="B534" s="2"/>
      <c r="C534" s="2"/>
      <c r="D534" s="2"/>
      <c r="E534" s="2"/>
      <c r="H534" s="3"/>
    </row>
    <row r="535" customFormat="false" ht="15.75" hidden="false" customHeight="false" outlineLevel="0" collapsed="false">
      <c r="B535" s="2"/>
      <c r="C535" s="2"/>
      <c r="D535" s="2"/>
      <c r="E535" s="2"/>
      <c r="H535" s="3"/>
    </row>
    <row r="536" customFormat="false" ht="15.75" hidden="false" customHeight="false" outlineLevel="0" collapsed="false">
      <c r="B536" s="2"/>
      <c r="C536" s="2"/>
      <c r="D536" s="2"/>
      <c r="E536" s="2"/>
      <c r="H536" s="3"/>
    </row>
    <row r="537" customFormat="false" ht="15.75" hidden="false" customHeight="false" outlineLevel="0" collapsed="false">
      <c r="B537" s="2"/>
      <c r="C537" s="2"/>
      <c r="D537" s="2"/>
      <c r="E537" s="2"/>
      <c r="H537" s="3"/>
    </row>
    <row r="538" customFormat="false" ht="15.75" hidden="false" customHeight="false" outlineLevel="0" collapsed="false">
      <c r="B538" s="2"/>
      <c r="C538" s="2"/>
      <c r="D538" s="2"/>
      <c r="E538" s="2"/>
      <c r="H538" s="3"/>
    </row>
    <row r="539" customFormat="false" ht="15.75" hidden="false" customHeight="false" outlineLevel="0" collapsed="false">
      <c r="B539" s="2"/>
      <c r="C539" s="2"/>
      <c r="D539" s="2"/>
      <c r="E539" s="2"/>
      <c r="H539" s="3"/>
    </row>
    <row r="540" customFormat="false" ht="15.75" hidden="false" customHeight="false" outlineLevel="0" collapsed="false">
      <c r="B540" s="2"/>
      <c r="C540" s="2"/>
      <c r="D540" s="2"/>
      <c r="E540" s="2"/>
      <c r="H540" s="3"/>
    </row>
    <row r="541" customFormat="false" ht="15.75" hidden="false" customHeight="false" outlineLevel="0" collapsed="false">
      <c r="B541" s="2"/>
      <c r="C541" s="2"/>
      <c r="D541" s="2"/>
      <c r="E541" s="2"/>
      <c r="H541" s="3"/>
    </row>
    <row r="542" customFormat="false" ht="15.75" hidden="false" customHeight="false" outlineLevel="0" collapsed="false">
      <c r="B542" s="2"/>
      <c r="C542" s="2"/>
      <c r="D542" s="2"/>
      <c r="E542" s="2"/>
      <c r="H542" s="3"/>
    </row>
    <row r="543" customFormat="false" ht="15.75" hidden="false" customHeight="false" outlineLevel="0" collapsed="false">
      <c r="B543" s="2"/>
      <c r="C543" s="2"/>
      <c r="D543" s="2"/>
      <c r="E543" s="2"/>
      <c r="H543" s="3"/>
    </row>
    <row r="544" customFormat="false" ht="15.75" hidden="false" customHeight="false" outlineLevel="0" collapsed="false">
      <c r="B544" s="2"/>
      <c r="C544" s="2"/>
      <c r="D544" s="2"/>
      <c r="E544" s="2"/>
      <c r="H544" s="3"/>
    </row>
    <row r="545" customFormat="false" ht="15.75" hidden="false" customHeight="false" outlineLevel="0" collapsed="false">
      <c r="B545" s="2"/>
      <c r="C545" s="2"/>
      <c r="D545" s="2"/>
      <c r="E545" s="2"/>
      <c r="H545" s="3"/>
    </row>
    <row r="546" customFormat="false" ht="15.75" hidden="false" customHeight="false" outlineLevel="0" collapsed="false">
      <c r="B546" s="2"/>
      <c r="C546" s="2"/>
      <c r="D546" s="2"/>
      <c r="E546" s="2"/>
      <c r="H546" s="3"/>
    </row>
    <row r="547" customFormat="false" ht="15.75" hidden="false" customHeight="false" outlineLevel="0" collapsed="false">
      <c r="B547" s="2"/>
      <c r="C547" s="2"/>
      <c r="D547" s="2"/>
      <c r="E547" s="2"/>
      <c r="H547" s="3"/>
    </row>
    <row r="548" customFormat="false" ht="15.75" hidden="false" customHeight="false" outlineLevel="0" collapsed="false">
      <c r="B548" s="2"/>
      <c r="C548" s="2"/>
      <c r="D548" s="2"/>
      <c r="E548" s="2"/>
      <c r="H548" s="3"/>
    </row>
    <row r="549" customFormat="false" ht="15.75" hidden="false" customHeight="false" outlineLevel="0" collapsed="false">
      <c r="B549" s="2"/>
      <c r="C549" s="2"/>
      <c r="D549" s="2"/>
      <c r="E549" s="2"/>
      <c r="H549" s="3"/>
    </row>
    <row r="550" customFormat="false" ht="15.75" hidden="false" customHeight="false" outlineLevel="0" collapsed="false">
      <c r="B550" s="2"/>
      <c r="C550" s="2"/>
      <c r="D550" s="2"/>
      <c r="E550" s="2"/>
      <c r="H550" s="3"/>
    </row>
    <row r="551" customFormat="false" ht="15.75" hidden="false" customHeight="false" outlineLevel="0" collapsed="false">
      <c r="B551" s="2"/>
      <c r="C551" s="2"/>
      <c r="D551" s="2"/>
      <c r="E551" s="2"/>
      <c r="H551" s="3"/>
    </row>
    <row r="552" customFormat="false" ht="15.75" hidden="false" customHeight="false" outlineLevel="0" collapsed="false">
      <c r="B552" s="2"/>
      <c r="C552" s="2"/>
      <c r="D552" s="2"/>
      <c r="E552" s="2"/>
      <c r="H552" s="3"/>
    </row>
    <row r="553" customFormat="false" ht="15.75" hidden="false" customHeight="false" outlineLevel="0" collapsed="false">
      <c r="B553" s="2"/>
      <c r="C553" s="2"/>
      <c r="D553" s="2"/>
      <c r="E553" s="2"/>
      <c r="H553" s="3"/>
    </row>
    <row r="554" customFormat="false" ht="15.75" hidden="false" customHeight="false" outlineLevel="0" collapsed="false">
      <c r="B554" s="2"/>
      <c r="C554" s="2"/>
      <c r="D554" s="2"/>
      <c r="E554" s="2"/>
      <c r="H554" s="3"/>
    </row>
    <row r="555" customFormat="false" ht="15.75" hidden="false" customHeight="false" outlineLevel="0" collapsed="false">
      <c r="B555" s="2"/>
      <c r="C555" s="2"/>
      <c r="D555" s="2"/>
      <c r="E555" s="2"/>
      <c r="H555" s="3"/>
    </row>
    <row r="556" customFormat="false" ht="15.75" hidden="false" customHeight="false" outlineLevel="0" collapsed="false">
      <c r="B556" s="2"/>
      <c r="C556" s="2"/>
      <c r="D556" s="2"/>
      <c r="E556" s="2"/>
      <c r="H556" s="3"/>
    </row>
    <row r="557" customFormat="false" ht="15.75" hidden="false" customHeight="false" outlineLevel="0" collapsed="false">
      <c r="B557" s="2"/>
      <c r="C557" s="2"/>
      <c r="D557" s="2"/>
      <c r="E557" s="2"/>
      <c r="H557" s="3"/>
    </row>
    <row r="558" customFormat="false" ht="15.75" hidden="false" customHeight="false" outlineLevel="0" collapsed="false">
      <c r="B558" s="2"/>
      <c r="C558" s="2"/>
      <c r="D558" s="2"/>
      <c r="E558" s="2"/>
      <c r="H558" s="3"/>
    </row>
    <row r="559" customFormat="false" ht="15.75" hidden="false" customHeight="false" outlineLevel="0" collapsed="false">
      <c r="B559" s="2"/>
      <c r="C559" s="2"/>
      <c r="D559" s="2"/>
      <c r="E559" s="2"/>
      <c r="H559" s="3"/>
    </row>
    <row r="560" customFormat="false" ht="15.75" hidden="false" customHeight="false" outlineLevel="0" collapsed="false">
      <c r="B560" s="2"/>
      <c r="C560" s="2"/>
      <c r="D560" s="2"/>
      <c r="E560" s="2"/>
      <c r="H560" s="3"/>
    </row>
    <row r="561" customFormat="false" ht="15.75" hidden="false" customHeight="false" outlineLevel="0" collapsed="false">
      <c r="B561" s="2"/>
      <c r="C561" s="2"/>
      <c r="D561" s="2"/>
      <c r="E561" s="2"/>
      <c r="H561" s="3"/>
    </row>
    <row r="562" customFormat="false" ht="15.75" hidden="false" customHeight="false" outlineLevel="0" collapsed="false">
      <c r="B562" s="2"/>
      <c r="C562" s="2"/>
      <c r="D562" s="2"/>
      <c r="E562" s="2"/>
      <c r="H562" s="3"/>
    </row>
    <row r="563" customFormat="false" ht="15.75" hidden="false" customHeight="false" outlineLevel="0" collapsed="false">
      <c r="B563" s="2"/>
      <c r="C563" s="2"/>
      <c r="D563" s="2"/>
      <c r="E563" s="2"/>
      <c r="H563" s="3"/>
    </row>
    <row r="564" customFormat="false" ht="15.75" hidden="false" customHeight="false" outlineLevel="0" collapsed="false">
      <c r="B564" s="2"/>
      <c r="C564" s="2"/>
      <c r="D564" s="2"/>
      <c r="E564" s="2"/>
      <c r="H564" s="3"/>
    </row>
    <row r="565" customFormat="false" ht="15.75" hidden="false" customHeight="false" outlineLevel="0" collapsed="false">
      <c r="B565" s="2"/>
      <c r="C565" s="2"/>
      <c r="D565" s="2"/>
      <c r="E565" s="2"/>
      <c r="H565" s="3"/>
    </row>
    <row r="566" customFormat="false" ht="15.75" hidden="false" customHeight="false" outlineLevel="0" collapsed="false">
      <c r="B566" s="2"/>
      <c r="C566" s="2"/>
      <c r="D566" s="2"/>
      <c r="E566" s="2"/>
      <c r="H566" s="3"/>
    </row>
    <row r="567" customFormat="false" ht="15.75" hidden="false" customHeight="false" outlineLevel="0" collapsed="false">
      <c r="B567" s="2"/>
      <c r="C567" s="2"/>
      <c r="D567" s="2"/>
      <c r="E567" s="2"/>
      <c r="H567" s="3"/>
    </row>
    <row r="568" customFormat="false" ht="15.75" hidden="false" customHeight="false" outlineLevel="0" collapsed="false">
      <c r="B568" s="2"/>
      <c r="C568" s="2"/>
      <c r="D568" s="2"/>
      <c r="E568" s="2"/>
      <c r="H568" s="3"/>
    </row>
    <row r="569" customFormat="false" ht="15.75" hidden="false" customHeight="false" outlineLevel="0" collapsed="false">
      <c r="B569" s="2"/>
      <c r="C569" s="2"/>
      <c r="D569" s="2"/>
      <c r="E569" s="2"/>
      <c r="H569" s="3"/>
    </row>
    <row r="570" customFormat="false" ht="15.75" hidden="false" customHeight="false" outlineLevel="0" collapsed="false">
      <c r="B570" s="2"/>
      <c r="C570" s="2"/>
      <c r="D570" s="2"/>
      <c r="E570" s="2"/>
      <c r="H570" s="3"/>
    </row>
    <row r="571" customFormat="false" ht="15.75" hidden="false" customHeight="false" outlineLevel="0" collapsed="false">
      <c r="B571" s="2"/>
      <c r="C571" s="2"/>
      <c r="D571" s="2"/>
      <c r="E571" s="2"/>
      <c r="H571" s="3"/>
    </row>
    <row r="572" customFormat="false" ht="15.75" hidden="false" customHeight="false" outlineLevel="0" collapsed="false">
      <c r="B572" s="2"/>
      <c r="C572" s="2"/>
      <c r="D572" s="2"/>
      <c r="E572" s="2"/>
      <c r="H572" s="3"/>
    </row>
    <row r="573" customFormat="false" ht="15.75" hidden="false" customHeight="false" outlineLevel="0" collapsed="false">
      <c r="B573" s="2"/>
      <c r="C573" s="2"/>
      <c r="D573" s="2"/>
      <c r="E573" s="2"/>
      <c r="H573" s="3"/>
    </row>
    <row r="574" customFormat="false" ht="15.75" hidden="false" customHeight="false" outlineLevel="0" collapsed="false">
      <c r="B574" s="2"/>
      <c r="C574" s="2"/>
      <c r="D574" s="2"/>
      <c r="E574" s="2"/>
      <c r="H574" s="3"/>
    </row>
    <row r="575" customFormat="false" ht="15.75" hidden="false" customHeight="false" outlineLevel="0" collapsed="false">
      <c r="B575" s="2"/>
      <c r="C575" s="2"/>
      <c r="D575" s="2"/>
      <c r="E575" s="2"/>
      <c r="H575" s="3"/>
    </row>
    <row r="576" customFormat="false" ht="15.75" hidden="false" customHeight="false" outlineLevel="0" collapsed="false">
      <c r="B576" s="2"/>
      <c r="C576" s="2"/>
      <c r="D576" s="2"/>
      <c r="E576" s="2"/>
      <c r="H576" s="3"/>
    </row>
    <row r="577" customFormat="false" ht="15.75" hidden="false" customHeight="false" outlineLevel="0" collapsed="false">
      <c r="B577" s="2"/>
      <c r="C577" s="2"/>
      <c r="D577" s="2"/>
      <c r="E577" s="2"/>
      <c r="H577" s="3"/>
    </row>
    <row r="578" customFormat="false" ht="15.75" hidden="false" customHeight="false" outlineLevel="0" collapsed="false">
      <c r="B578" s="2"/>
      <c r="C578" s="2"/>
      <c r="D578" s="2"/>
      <c r="E578" s="2"/>
      <c r="H578" s="3"/>
    </row>
    <row r="579" customFormat="false" ht="15.75" hidden="false" customHeight="false" outlineLevel="0" collapsed="false">
      <c r="B579" s="2"/>
      <c r="C579" s="2"/>
      <c r="D579" s="2"/>
      <c r="E579" s="2"/>
      <c r="H579" s="3"/>
    </row>
    <row r="580" customFormat="false" ht="15.75" hidden="false" customHeight="false" outlineLevel="0" collapsed="false">
      <c r="B580" s="2"/>
      <c r="C580" s="2"/>
      <c r="D580" s="2"/>
      <c r="E580" s="2"/>
      <c r="H580" s="3"/>
    </row>
    <row r="581" customFormat="false" ht="15.75" hidden="false" customHeight="false" outlineLevel="0" collapsed="false">
      <c r="B581" s="2"/>
      <c r="C581" s="2"/>
      <c r="D581" s="2"/>
      <c r="E581" s="2"/>
      <c r="H581" s="3"/>
    </row>
    <row r="582" customFormat="false" ht="15.75" hidden="false" customHeight="false" outlineLevel="0" collapsed="false">
      <c r="B582" s="2"/>
      <c r="C582" s="2"/>
      <c r="D582" s="2"/>
      <c r="E582" s="2"/>
      <c r="H582" s="3"/>
    </row>
    <row r="583" customFormat="false" ht="15.75" hidden="false" customHeight="false" outlineLevel="0" collapsed="false">
      <c r="B583" s="2"/>
      <c r="C583" s="2"/>
      <c r="D583" s="2"/>
      <c r="E583" s="2"/>
      <c r="H583" s="3"/>
    </row>
    <row r="584" customFormat="false" ht="15.75" hidden="false" customHeight="false" outlineLevel="0" collapsed="false">
      <c r="B584" s="2"/>
      <c r="C584" s="2"/>
      <c r="D584" s="2"/>
      <c r="E584" s="2"/>
      <c r="H584" s="3"/>
    </row>
    <row r="585" customFormat="false" ht="15.75" hidden="false" customHeight="false" outlineLevel="0" collapsed="false">
      <c r="B585" s="2"/>
      <c r="C585" s="2"/>
      <c r="D585" s="2"/>
      <c r="E585" s="2"/>
      <c r="H585" s="3"/>
    </row>
    <row r="586" customFormat="false" ht="15.75" hidden="false" customHeight="false" outlineLevel="0" collapsed="false">
      <c r="B586" s="2"/>
      <c r="C586" s="2"/>
      <c r="D586" s="2"/>
      <c r="E586" s="2"/>
      <c r="H586" s="3"/>
    </row>
    <row r="587" customFormat="false" ht="15.75" hidden="false" customHeight="false" outlineLevel="0" collapsed="false">
      <c r="B587" s="2"/>
      <c r="C587" s="2"/>
      <c r="D587" s="2"/>
      <c r="E587" s="2"/>
      <c r="H587" s="3"/>
    </row>
    <row r="588" customFormat="false" ht="15.75" hidden="false" customHeight="false" outlineLevel="0" collapsed="false">
      <c r="B588" s="2"/>
      <c r="C588" s="2"/>
      <c r="D588" s="2"/>
      <c r="E588" s="2"/>
      <c r="H588" s="3"/>
    </row>
    <row r="589" customFormat="false" ht="15.75" hidden="false" customHeight="false" outlineLevel="0" collapsed="false">
      <c r="B589" s="2"/>
      <c r="C589" s="2"/>
      <c r="D589" s="2"/>
      <c r="E589" s="2"/>
      <c r="H589" s="3"/>
    </row>
    <row r="590" customFormat="false" ht="15.75" hidden="false" customHeight="false" outlineLevel="0" collapsed="false">
      <c r="B590" s="2"/>
      <c r="C590" s="2"/>
      <c r="D590" s="2"/>
      <c r="E590" s="2"/>
      <c r="H590" s="3"/>
    </row>
    <row r="591" customFormat="false" ht="15.75" hidden="false" customHeight="false" outlineLevel="0" collapsed="false">
      <c r="B591" s="2"/>
      <c r="C591" s="2"/>
      <c r="D591" s="2"/>
      <c r="E591" s="2"/>
      <c r="H591" s="3"/>
    </row>
    <row r="592" customFormat="false" ht="15.75" hidden="false" customHeight="false" outlineLevel="0" collapsed="false">
      <c r="B592" s="2"/>
      <c r="C592" s="2"/>
      <c r="D592" s="2"/>
      <c r="E592" s="2"/>
      <c r="H592" s="3"/>
    </row>
    <row r="593" customFormat="false" ht="15.75" hidden="false" customHeight="false" outlineLevel="0" collapsed="false">
      <c r="B593" s="2"/>
      <c r="C593" s="2"/>
      <c r="D593" s="2"/>
      <c r="E593" s="2"/>
      <c r="H593" s="3"/>
    </row>
    <row r="594" customFormat="false" ht="15.75" hidden="false" customHeight="false" outlineLevel="0" collapsed="false">
      <c r="B594" s="2"/>
      <c r="C594" s="2"/>
      <c r="D594" s="2"/>
      <c r="E594" s="2"/>
      <c r="H594" s="3"/>
    </row>
    <row r="595" customFormat="false" ht="15.75" hidden="false" customHeight="false" outlineLevel="0" collapsed="false">
      <c r="B595" s="2"/>
      <c r="C595" s="2"/>
      <c r="D595" s="2"/>
      <c r="E595" s="2"/>
      <c r="H595" s="3"/>
    </row>
    <row r="596" customFormat="false" ht="15.75" hidden="false" customHeight="false" outlineLevel="0" collapsed="false">
      <c r="B596" s="2"/>
      <c r="C596" s="2"/>
      <c r="D596" s="2"/>
      <c r="E596" s="2"/>
      <c r="H596" s="3"/>
    </row>
    <row r="597" customFormat="false" ht="15.75" hidden="false" customHeight="false" outlineLevel="0" collapsed="false">
      <c r="B597" s="2"/>
      <c r="C597" s="2"/>
      <c r="D597" s="2"/>
      <c r="E597" s="2"/>
      <c r="H597" s="3"/>
    </row>
    <row r="598" customFormat="false" ht="15.75" hidden="false" customHeight="false" outlineLevel="0" collapsed="false">
      <c r="B598" s="2"/>
      <c r="C598" s="2"/>
      <c r="D598" s="2"/>
      <c r="E598" s="2"/>
      <c r="H598" s="3"/>
    </row>
    <row r="599" customFormat="false" ht="15.75" hidden="false" customHeight="false" outlineLevel="0" collapsed="false">
      <c r="B599" s="2"/>
      <c r="C599" s="2"/>
      <c r="D599" s="2"/>
      <c r="E599" s="2"/>
      <c r="H599" s="3"/>
    </row>
    <row r="600" customFormat="false" ht="15.75" hidden="false" customHeight="false" outlineLevel="0" collapsed="false">
      <c r="B600" s="2"/>
      <c r="C600" s="2"/>
      <c r="D600" s="2"/>
      <c r="E600" s="2"/>
      <c r="H600" s="3"/>
    </row>
    <row r="601" customFormat="false" ht="15.75" hidden="false" customHeight="false" outlineLevel="0" collapsed="false">
      <c r="B601" s="2"/>
      <c r="C601" s="2"/>
      <c r="D601" s="2"/>
      <c r="E601" s="2"/>
      <c r="H601" s="3"/>
    </row>
    <row r="602" customFormat="false" ht="15.75" hidden="false" customHeight="false" outlineLevel="0" collapsed="false">
      <c r="B602" s="2"/>
      <c r="C602" s="2"/>
      <c r="D602" s="2"/>
      <c r="E602" s="2"/>
      <c r="H602" s="3"/>
    </row>
    <row r="603" customFormat="false" ht="15.75" hidden="false" customHeight="false" outlineLevel="0" collapsed="false">
      <c r="B603" s="2"/>
      <c r="C603" s="2"/>
      <c r="D603" s="2"/>
      <c r="E603" s="2"/>
      <c r="H603" s="3"/>
    </row>
    <row r="604" customFormat="false" ht="15.75" hidden="false" customHeight="false" outlineLevel="0" collapsed="false">
      <c r="B604" s="2"/>
      <c r="C604" s="2"/>
      <c r="D604" s="2"/>
      <c r="E604" s="2"/>
      <c r="H604" s="3"/>
    </row>
    <row r="605" customFormat="false" ht="15.75" hidden="false" customHeight="false" outlineLevel="0" collapsed="false">
      <c r="B605" s="2"/>
      <c r="C605" s="2"/>
      <c r="D605" s="2"/>
      <c r="E605" s="2"/>
      <c r="H605" s="3"/>
    </row>
    <row r="606" customFormat="false" ht="15.75" hidden="false" customHeight="false" outlineLevel="0" collapsed="false">
      <c r="B606" s="2"/>
      <c r="C606" s="2"/>
      <c r="D606" s="2"/>
      <c r="E606" s="2"/>
      <c r="H606" s="3"/>
    </row>
    <row r="607" customFormat="false" ht="15.75" hidden="false" customHeight="false" outlineLevel="0" collapsed="false">
      <c r="B607" s="2"/>
      <c r="C607" s="2"/>
      <c r="D607" s="2"/>
      <c r="E607" s="2"/>
      <c r="H607" s="3"/>
    </row>
    <row r="608" customFormat="false" ht="15.75" hidden="false" customHeight="false" outlineLevel="0" collapsed="false">
      <c r="B608" s="2"/>
      <c r="C608" s="2"/>
      <c r="D608" s="2"/>
      <c r="E608" s="2"/>
      <c r="H608" s="3"/>
    </row>
    <row r="609" customFormat="false" ht="15.75" hidden="false" customHeight="false" outlineLevel="0" collapsed="false">
      <c r="B609" s="2"/>
      <c r="C609" s="2"/>
      <c r="D609" s="2"/>
      <c r="E609" s="2"/>
      <c r="H609" s="3"/>
    </row>
    <row r="610" customFormat="false" ht="15.75" hidden="false" customHeight="false" outlineLevel="0" collapsed="false">
      <c r="B610" s="2"/>
      <c r="C610" s="2"/>
      <c r="D610" s="2"/>
      <c r="E610" s="2"/>
      <c r="H610" s="3"/>
    </row>
    <row r="611" customFormat="false" ht="15.75" hidden="false" customHeight="false" outlineLevel="0" collapsed="false">
      <c r="B611" s="2"/>
      <c r="C611" s="2"/>
      <c r="D611" s="2"/>
      <c r="E611" s="2"/>
      <c r="H611" s="3"/>
    </row>
    <row r="612" customFormat="false" ht="15.75" hidden="false" customHeight="false" outlineLevel="0" collapsed="false">
      <c r="B612" s="2"/>
      <c r="C612" s="2"/>
      <c r="D612" s="2"/>
      <c r="E612" s="2"/>
      <c r="H612" s="3"/>
    </row>
    <row r="613" customFormat="false" ht="15.75" hidden="false" customHeight="false" outlineLevel="0" collapsed="false">
      <c r="B613" s="2"/>
      <c r="C613" s="2"/>
      <c r="D613" s="2"/>
      <c r="E613" s="2"/>
      <c r="H613" s="3"/>
    </row>
    <row r="614" customFormat="false" ht="15.75" hidden="false" customHeight="false" outlineLevel="0" collapsed="false">
      <c r="B614" s="2"/>
      <c r="C614" s="2"/>
      <c r="D614" s="2"/>
      <c r="E614" s="2"/>
      <c r="H614" s="3"/>
    </row>
    <row r="615" customFormat="false" ht="15.75" hidden="false" customHeight="false" outlineLevel="0" collapsed="false">
      <c r="B615" s="2"/>
      <c r="C615" s="2"/>
      <c r="D615" s="2"/>
      <c r="E615" s="2"/>
      <c r="H615" s="3"/>
    </row>
    <row r="616" customFormat="false" ht="15.75" hidden="false" customHeight="false" outlineLevel="0" collapsed="false">
      <c r="B616" s="2"/>
      <c r="C616" s="2"/>
      <c r="D616" s="2"/>
      <c r="E616" s="2"/>
      <c r="H616" s="3"/>
    </row>
    <row r="617" customFormat="false" ht="15.75" hidden="false" customHeight="false" outlineLevel="0" collapsed="false">
      <c r="B617" s="2"/>
      <c r="C617" s="2"/>
      <c r="D617" s="2"/>
      <c r="E617" s="2"/>
      <c r="H617" s="3"/>
    </row>
    <row r="618" customFormat="false" ht="15.75" hidden="false" customHeight="false" outlineLevel="0" collapsed="false">
      <c r="B618" s="2"/>
      <c r="C618" s="2"/>
      <c r="D618" s="2"/>
      <c r="E618" s="2"/>
      <c r="H618" s="3"/>
    </row>
    <row r="619" customFormat="false" ht="15.75" hidden="false" customHeight="false" outlineLevel="0" collapsed="false">
      <c r="B619" s="2"/>
      <c r="C619" s="2"/>
      <c r="D619" s="2"/>
      <c r="E619" s="2"/>
      <c r="H619" s="3"/>
    </row>
    <row r="620" customFormat="false" ht="15.75" hidden="false" customHeight="false" outlineLevel="0" collapsed="false">
      <c r="B620" s="2"/>
      <c r="C620" s="2"/>
      <c r="D620" s="2"/>
      <c r="E620" s="2"/>
      <c r="H620" s="3"/>
    </row>
    <row r="621" customFormat="false" ht="15.75" hidden="false" customHeight="false" outlineLevel="0" collapsed="false">
      <c r="B621" s="2"/>
      <c r="C621" s="2"/>
      <c r="D621" s="2"/>
      <c r="E621" s="2"/>
      <c r="H621" s="3"/>
    </row>
    <row r="622" customFormat="false" ht="15.75" hidden="false" customHeight="false" outlineLevel="0" collapsed="false">
      <c r="B622" s="2"/>
      <c r="C622" s="2"/>
      <c r="D622" s="2"/>
      <c r="E622" s="2"/>
      <c r="H622" s="3"/>
    </row>
    <row r="623" customFormat="false" ht="15.75" hidden="false" customHeight="false" outlineLevel="0" collapsed="false">
      <c r="B623" s="2"/>
      <c r="C623" s="2"/>
      <c r="D623" s="2"/>
      <c r="E623" s="2"/>
      <c r="H623" s="3"/>
    </row>
    <row r="624" customFormat="false" ht="15.75" hidden="false" customHeight="false" outlineLevel="0" collapsed="false">
      <c r="B624" s="2"/>
      <c r="C624" s="2"/>
      <c r="D624" s="2"/>
      <c r="E624" s="2"/>
      <c r="H624" s="3"/>
    </row>
    <row r="625" customFormat="false" ht="15.75" hidden="false" customHeight="false" outlineLevel="0" collapsed="false">
      <c r="B625" s="2"/>
      <c r="C625" s="2"/>
      <c r="D625" s="2"/>
      <c r="E625" s="2"/>
      <c r="H625" s="3"/>
    </row>
    <row r="626" customFormat="false" ht="15.75" hidden="false" customHeight="false" outlineLevel="0" collapsed="false">
      <c r="B626" s="2"/>
      <c r="C626" s="2"/>
      <c r="D626" s="2"/>
      <c r="E626" s="2"/>
      <c r="H626" s="3"/>
    </row>
    <row r="627" customFormat="false" ht="15.75" hidden="false" customHeight="false" outlineLevel="0" collapsed="false">
      <c r="B627" s="2"/>
      <c r="C627" s="2"/>
      <c r="D627" s="2"/>
      <c r="E627" s="2"/>
      <c r="H627" s="3"/>
    </row>
    <row r="628" customFormat="false" ht="15.75" hidden="false" customHeight="false" outlineLevel="0" collapsed="false">
      <c r="B628" s="2"/>
      <c r="C628" s="2"/>
      <c r="D628" s="2"/>
      <c r="E628" s="2"/>
      <c r="H628" s="3"/>
    </row>
    <row r="629" customFormat="false" ht="15.75" hidden="false" customHeight="false" outlineLevel="0" collapsed="false">
      <c r="B629" s="2"/>
      <c r="C629" s="2"/>
      <c r="D629" s="2"/>
      <c r="E629" s="2"/>
      <c r="H629" s="3"/>
    </row>
    <row r="630" customFormat="false" ht="15.75" hidden="false" customHeight="false" outlineLevel="0" collapsed="false">
      <c r="B630" s="2"/>
      <c r="C630" s="2"/>
      <c r="D630" s="2"/>
      <c r="E630" s="2"/>
      <c r="H630" s="3"/>
    </row>
    <row r="631" customFormat="false" ht="15.75" hidden="false" customHeight="false" outlineLevel="0" collapsed="false">
      <c r="B631" s="2"/>
      <c r="C631" s="2"/>
      <c r="D631" s="2"/>
      <c r="E631" s="2"/>
      <c r="H631" s="3"/>
    </row>
    <row r="632" customFormat="false" ht="15.75" hidden="false" customHeight="false" outlineLevel="0" collapsed="false">
      <c r="B632" s="2"/>
      <c r="C632" s="2"/>
      <c r="D632" s="2"/>
      <c r="E632" s="2"/>
      <c r="H632" s="3"/>
    </row>
    <row r="633" customFormat="false" ht="15.75" hidden="false" customHeight="false" outlineLevel="0" collapsed="false">
      <c r="B633" s="2"/>
      <c r="C633" s="2"/>
      <c r="D633" s="2"/>
      <c r="E633" s="2"/>
      <c r="H633" s="3"/>
    </row>
    <row r="634" customFormat="false" ht="15.75" hidden="false" customHeight="false" outlineLevel="0" collapsed="false">
      <c r="B634" s="2"/>
      <c r="C634" s="2"/>
      <c r="D634" s="2"/>
      <c r="E634" s="2"/>
      <c r="H634" s="3"/>
    </row>
    <row r="635" customFormat="false" ht="15.75" hidden="false" customHeight="false" outlineLevel="0" collapsed="false">
      <c r="B635" s="2"/>
      <c r="C635" s="2"/>
      <c r="D635" s="2"/>
      <c r="E635" s="2"/>
      <c r="H635" s="3"/>
    </row>
    <row r="636" customFormat="false" ht="15.75" hidden="false" customHeight="false" outlineLevel="0" collapsed="false">
      <c r="B636" s="2"/>
      <c r="C636" s="2"/>
      <c r="D636" s="2"/>
      <c r="E636" s="2"/>
      <c r="H636" s="3"/>
    </row>
    <row r="637" customFormat="false" ht="15.75" hidden="false" customHeight="false" outlineLevel="0" collapsed="false">
      <c r="B637" s="2"/>
      <c r="C637" s="2"/>
      <c r="D637" s="2"/>
      <c r="E637" s="2"/>
      <c r="H637" s="3"/>
    </row>
    <row r="638" customFormat="false" ht="15.75" hidden="false" customHeight="false" outlineLevel="0" collapsed="false">
      <c r="B638" s="2"/>
      <c r="C638" s="2"/>
      <c r="D638" s="2"/>
      <c r="E638" s="2"/>
      <c r="H638" s="3"/>
    </row>
    <row r="639" customFormat="false" ht="15.75" hidden="false" customHeight="false" outlineLevel="0" collapsed="false">
      <c r="B639" s="2"/>
      <c r="C639" s="2"/>
      <c r="D639" s="2"/>
      <c r="E639" s="2"/>
      <c r="H639" s="3"/>
    </row>
    <row r="640" customFormat="false" ht="15.75" hidden="false" customHeight="false" outlineLevel="0" collapsed="false">
      <c r="B640" s="2"/>
      <c r="C640" s="2"/>
      <c r="D640" s="2"/>
      <c r="E640" s="2"/>
      <c r="H640" s="3"/>
    </row>
    <row r="641" customFormat="false" ht="15.75" hidden="false" customHeight="false" outlineLevel="0" collapsed="false">
      <c r="B641" s="2"/>
      <c r="C641" s="2"/>
      <c r="D641" s="2"/>
      <c r="E641" s="2"/>
      <c r="H641" s="3"/>
    </row>
    <row r="642" customFormat="false" ht="15.75" hidden="false" customHeight="false" outlineLevel="0" collapsed="false">
      <c r="B642" s="2"/>
      <c r="C642" s="2"/>
      <c r="D642" s="2"/>
      <c r="E642" s="2"/>
      <c r="H642" s="3"/>
    </row>
    <row r="643" customFormat="false" ht="15.75" hidden="false" customHeight="false" outlineLevel="0" collapsed="false">
      <c r="B643" s="2"/>
      <c r="C643" s="2"/>
      <c r="D643" s="2"/>
      <c r="E643" s="2"/>
      <c r="H643" s="3"/>
    </row>
    <row r="644" customFormat="false" ht="15.75" hidden="false" customHeight="false" outlineLevel="0" collapsed="false">
      <c r="B644" s="2"/>
      <c r="C644" s="2"/>
      <c r="D644" s="2"/>
      <c r="E644" s="2"/>
      <c r="H644" s="3"/>
    </row>
    <row r="645" customFormat="false" ht="15.75" hidden="false" customHeight="false" outlineLevel="0" collapsed="false">
      <c r="B645" s="2"/>
      <c r="C645" s="2"/>
      <c r="D645" s="2"/>
      <c r="E645" s="2"/>
      <c r="H645" s="3"/>
    </row>
    <row r="646" customFormat="false" ht="15.75" hidden="false" customHeight="false" outlineLevel="0" collapsed="false">
      <c r="B646" s="2"/>
      <c r="C646" s="2"/>
      <c r="D646" s="2"/>
      <c r="E646" s="2"/>
      <c r="H646" s="3"/>
    </row>
    <row r="647" customFormat="false" ht="15.75" hidden="false" customHeight="false" outlineLevel="0" collapsed="false">
      <c r="B647" s="2"/>
      <c r="C647" s="2"/>
      <c r="D647" s="2"/>
      <c r="E647" s="2"/>
      <c r="H647" s="3"/>
    </row>
    <row r="648" customFormat="false" ht="15.75" hidden="false" customHeight="false" outlineLevel="0" collapsed="false">
      <c r="B648" s="2"/>
      <c r="C648" s="2"/>
      <c r="D648" s="2"/>
      <c r="E648" s="2"/>
      <c r="H648" s="3"/>
    </row>
    <row r="649" customFormat="false" ht="15.75" hidden="false" customHeight="false" outlineLevel="0" collapsed="false">
      <c r="B649" s="2"/>
      <c r="C649" s="2"/>
      <c r="D649" s="2"/>
      <c r="E649" s="2"/>
      <c r="H649" s="3"/>
    </row>
    <row r="650" customFormat="false" ht="15.75" hidden="false" customHeight="false" outlineLevel="0" collapsed="false">
      <c r="B650" s="2"/>
      <c r="C650" s="2"/>
      <c r="D650" s="2"/>
      <c r="E650" s="2"/>
      <c r="H650" s="3"/>
    </row>
    <row r="651" customFormat="false" ht="15.75" hidden="false" customHeight="false" outlineLevel="0" collapsed="false">
      <c r="B651" s="2"/>
      <c r="C651" s="2"/>
      <c r="D651" s="2"/>
      <c r="E651" s="2"/>
      <c r="H651" s="3"/>
    </row>
    <row r="652" customFormat="false" ht="15.75" hidden="false" customHeight="false" outlineLevel="0" collapsed="false">
      <c r="B652" s="2"/>
      <c r="C652" s="2"/>
      <c r="D652" s="2"/>
      <c r="E652" s="2"/>
      <c r="H652" s="3"/>
    </row>
    <row r="653" customFormat="false" ht="15.75" hidden="false" customHeight="false" outlineLevel="0" collapsed="false">
      <c r="B653" s="2"/>
      <c r="C653" s="2"/>
      <c r="D653" s="2"/>
      <c r="E653" s="2"/>
      <c r="H653" s="3"/>
    </row>
    <row r="654" customFormat="false" ht="15.75" hidden="false" customHeight="false" outlineLevel="0" collapsed="false">
      <c r="B654" s="2"/>
      <c r="C654" s="2"/>
      <c r="D654" s="2"/>
      <c r="E654" s="2"/>
      <c r="H654" s="3"/>
    </row>
    <row r="655" customFormat="false" ht="15.75" hidden="false" customHeight="false" outlineLevel="0" collapsed="false">
      <c r="B655" s="2"/>
      <c r="C655" s="2"/>
      <c r="D655" s="2"/>
      <c r="E655" s="2"/>
      <c r="H655" s="3"/>
    </row>
    <row r="656" customFormat="false" ht="15.75" hidden="false" customHeight="false" outlineLevel="0" collapsed="false">
      <c r="B656" s="2"/>
      <c r="C656" s="2"/>
      <c r="D656" s="2"/>
      <c r="E656" s="2"/>
      <c r="H656" s="3"/>
    </row>
    <row r="657" customFormat="false" ht="15.75" hidden="false" customHeight="false" outlineLevel="0" collapsed="false">
      <c r="B657" s="2"/>
      <c r="C657" s="2"/>
      <c r="D657" s="2"/>
      <c r="E657" s="2"/>
      <c r="H657" s="3"/>
    </row>
    <row r="658" customFormat="false" ht="15.75" hidden="false" customHeight="false" outlineLevel="0" collapsed="false">
      <c r="B658" s="2"/>
      <c r="C658" s="2"/>
      <c r="D658" s="2"/>
      <c r="E658" s="2"/>
      <c r="H658" s="3"/>
    </row>
    <row r="659" customFormat="false" ht="15.75" hidden="false" customHeight="false" outlineLevel="0" collapsed="false">
      <c r="B659" s="2"/>
      <c r="C659" s="2"/>
      <c r="D659" s="2"/>
      <c r="E659" s="2"/>
      <c r="H659" s="3"/>
    </row>
    <row r="660" customFormat="false" ht="15.75" hidden="false" customHeight="false" outlineLevel="0" collapsed="false">
      <c r="B660" s="2"/>
      <c r="C660" s="2"/>
      <c r="D660" s="2"/>
      <c r="E660" s="2"/>
      <c r="H660" s="3"/>
    </row>
    <row r="661" customFormat="false" ht="15.75" hidden="false" customHeight="false" outlineLevel="0" collapsed="false">
      <c r="B661" s="2"/>
      <c r="C661" s="2"/>
      <c r="D661" s="2"/>
      <c r="E661" s="2"/>
      <c r="H661" s="3"/>
    </row>
    <row r="662" customFormat="false" ht="15.75" hidden="false" customHeight="false" outlineLevel="0" collapsed="false">
      <c r="B662" s="2"/>
      <c r="C662" s="2"/>
      <c r="D662" s="2"/>
      <c r="E662" s="2"/>
      <c r="H662" s="3"/>
    </row>
    <row r="663" customFormat="false" ht="15.75" hidden="false" customHeight="false" outlineLevel="0" collapsed="false">
      <c r="B663" s="2"/>
      <c r="C663" s="2"/>
      <c r="D663" s="2"/>
      <c r="E663" s="2"/>
      <c r="H663" s="3"/>
    </row>
    <row r="664" customFormat="false" ht="15.75" hidden="false" customHeight="false" outlineLevel="0" collapsed="false">
      <c r="B664" s="2"/>
      <c r="C664" s="2"/>
      <c r="D664" s="2"/>
      <c r="E664" s="2"/>
      <c r="H664" s="3"/>
    </row>
    <row r="665" customFormat="false" ht="15.75" hidden="false" customHeight="false" outlineLevel="0" collapsed="false">
      <c r="B665" s="2"/>
      <c r="C665" s="2"/>
      <c r="D665" s="2"/>
      <c r="E665" s="2"/>
      <c r="H665" s="3"/>
    </row>
    <row r="666" customFormat="false" ht="15.75" hidden="false" customHeight="false" outlineLevel="0" collapsed="false">
      <c r="B666" s="2"/>
      <c r="C666" s="2"/>
      <c r="D666" s="2"/>
      <c r="E666" s="2"/>
      <c r="H666" s="3"/>
    </row>
    <row r="667" customFormat="false" ht="15.75" hidden="false" customHeight="false" outlineLevel="0" collapsed="false">
      <c r="B667" s="2"/>
      <c r="C667" s="2"/>
      <c r="D667" s="2"/>
      <c r="E667" s="2"/>
      <c r="H667" s="3"/>
    </row>
    <row r="668" customFormat="false" ht="15.75" hidden="false" customHeight="false" outlineLevel="0" collapsed="false">
      <c r="B668" s="2"/>
      <c r="C668" s="2"/>
      <c r="D668" s="2"/>
      <c r="E668" s="2"/>
      <c r="H668" s="3"/>
    </row>
    <row r="669" customFormat="false" ht="15.75" hidden="false" customHeight="false" outlineLevel="0" collapsed="false">
      <c r="B669" s="2"/>
      <c r="C669" s="2"/>
      <c r="D669" s="2"/>
      <c r="E669" s="2"/>
      <c r="H669" s="3"/>
    </row>
    <row r="670" customFormat="false" ht="15.75" hidden="false" customHeight="false" outlineLevel="0" collapsed="false">
      <c r="B670" s="2"/>
      <c r="C670" s="2"/>
      <c r="D670" s="2"/>
      <c r="E670" s="2"/>
      <c r="H670" s="3"/>
    </row>
    <row r="671" customFormat="false" ht="15.75" hidden="false" customHeight="false" outlineLevel="0" collapsed="false">
      <c r="B671" s="2"/>
      <c r="C671" s="2"/>
      <c r="D671" s="2"/>
      <c r="E671" s="2"/>
      <c r="H671" s="3"/>
    </row>
    <row r="672" customFormat="false" ht="15.75" hidden="false" customHeight="false" outlineLevel="0" collapsed="false">
      <c r="B672" s="2"/>
      <c r="C672" s="2"/>
      <c r="D672" s="2"/>
      <c r="E672" s="2"/>
      <c r="H672" s="3"/>
    </row>
    <row r="673" customFormat="false" ht="15.75" hidden="false" customHeight="false" outlineLevel="0" collapsed="false">
      <c r="B673" s="2"/>
      <c r="C673" s="2"/>
      <c r="D673" s="2"/>
      <c r="E673" s="2"/>
      <c r="H673" s="3"/>
    </row>
    <row r="674" customFormat="false" ht="15.75" hidden="false" customHeight="false" outlineLevel="0" collapsed="false">
      <c r="B674" s="2"/>
      <c r="C674" s="2"/>
      <c r="D674" s="2"/>
      <c r="E674" s="2"/>
      <c r="H674" s="3"/>
    </row>
    <row r="675" customFormat="false" ht="15.75" hidden="false" customHeight="false" outlineLevel="0" collapsed="false">
      <c r="B675" s="2"/>
      <c r="C675" s="2"/>
      <c r="D675" s="2"/>
      <c r="E675" s="2"/>
      <c r="H675" s="3"/>
    </row>
    <row r="676" customFormat="false" ht="15.75" hidden="false" customHeight="false" outlineLevel="0" collapsed="false">
      <c r="B676" s="2"/>
      <c r="C676" s="2"/>
      <c r="D676" s="2"/>
      <c r="E676" s="2"/>
      <c r="H676" s="3"/>
    </row>
    <row r="677" customFormat="false" ht="15.75" hidden="false" customHeight="false" outlineLevel="0" collapsed="false">
      <c r="B677" s="2"/>
      <c r="C677" s="2"/>
      <c r="D677" s="2"/>
      <c r="E677" s="2"/>
      <c r="H677" s="3"/>
    </row>
    <row r="678" customFormat="false" ht="15.75" hidden="false" customHeight="false" outlineLevel="0" collapsed="false">
      <c r="B678" s="2"/>
      <c r="C678" s="2"/>
      <c r="D678" s="2"/>
      <c r="E678" s="2"/>
      <c r="H678" s="3"/>
    </row>
    <row r="679" customFormat="false" ht="15.75" hidden="false" customHeight="false" outlineLevel="0" collapsed="false">
      <c r="B679" s="2"/>
      <c r="C679" s="2"/>
      <c r="D679" s="2"/>
      <c r="E679" s="2"/>
      <c r="H679" s="3"/>
    </row>
    <row r="680" customFormat="false" ht="15.75" hidden="false" customHeight="false" outlineLevel="0" collapsed="false">
      <c r="B680" s="2"/>
      <c r="C680" s="2"/>
      <c r="D680" s="2"/>
      <c r="E680" s="2"/>
      <c r="H680" s="3"/>
    </row>
    <row r="681" customFormat="false" ht="15.75" hidden="false" customHeight="false" outlineLevel="0" collapsed="false">
      <c r="B681" s="2"/>
      <c r="C681" s="2"/>
      <c r="D681" s="2"/>
      <c r="E681" s="2"/>
      <c r="H681" s="3"/>
    </row>
    <row r="682" customFormat="false" ht="15.75" hidden="false" customHeight="false" outlineLevel="0" collapsed="false">
      <c r="B682" s="2"/>
      <c r="C682" s="2"/>
      <c r="D682" s="2"/>
      <c r="E682" s="2"/>
      <c r="H682" s="3"/>
    </row>
    <row r="683" customFormat="false" ht="15.75" hidden="false" customHeight="false" outlineLevel="0" collapsed="false">
      <c r="B683" s="2"/>
      <c r="C683" s="2"/>
      <c r="D683" s="2"/>
      <c r="E683" s="2"/>
      <c r="H683" s="3"/>
    </row>
    <row r="684" customFormat="false" ht="15.75" hidden="false" customHeight="false" outlineLevel="0" collapsed="false">
      <c r="B684" s="2"/>
      <c r="C684" s="2"/>
      <c r="D684" s="2"/>
      <c r="E684" s="2"/>
      <c r="H684" s="3"/>
    </row>
    <row r="685" customFormat="false" ht="15.75" hidden="false" customHeight="false" outlineLevel="0" collapsed="false">
      <c r="B685" s="2"/>
      <c r="C685" s="2"/>
      <c r="D685" s="2"/>
      <c r="E685" s="2"/>
      <c r="H685" s="3"/>
    </row>
    <row r="686" customFormat="false" ht="15.75" hidden="false" customHeight="false" outlineLevel="0" collapsed="false">
      <c r="B686" s="2"/>
      <c r="C686" s="2"/>
      <c r="D686" s="2"/>
      <c r="E686" s="2"/>
      <c r="H686" s="3"/>
    </row>
    <row r="687" customFormat="false" ht="15.75" hidden="false" customHeight="false" outlineLevel="0" collapsed="false">
      <c r="B687" s="2"/>
      <c r="C687" s="2"/>
      <c r="D687" s="2"/>
      <c r="E687" s="2"/>
      <c r="H687" s="3"/>
    </row>
    <row r="688" customFormat="false" ht="15.75" hidden="false" customHeight="false" outlineLevel="0" collapsed="false">
      <c r="B688" s="2"/>
      <c r="C688" s="2"/>
      <c r="D688" s="2"/>
      <c r="E688" s="2"/>
      <c r="H688" s="3"/>
    </row>
    <row r="689" customFormat="false" ht="15.75" hidden="false" customHeight="false" outlineLevel="0" collapsed="false">
      <c r="B689" s="2"/>
      <c r="C689" s="2"/>
      <c r="D689" s="2"/>
      <c r="E689" s="2"/>
      <c r="H689" s="3"/>
    </row>
    <row r="690" customFormat="false" ht="15.75" hidden="false" customHeight="false" outlineLevel="0" collapsed="false">
      <c r="B690" s="2"/>
      <c r="C690" s="2"/>
      <c r="D690" s="2"/>
      <c r="E690" s="2"/>
      <c r="H690" s="3"/>
    </row>
    <row r="691" customFormat="false" ht="15.75" hidden="false" customHeight="false" outlineLevel="0" collapsed="false">
      <c r="B691" s="2"/>
      <c r="C691" s="2"/>
      <c r="D691" s="2"/>
      <c r="E691" s="2"/>
      <c r="H691" s="3"/>
    </row>
    <row r="692" customFormat="false" ht="15.75" hidden="false" customHeight="false" outlineLevel="0" collapsed="false">
      <c r="B692" s="2"/>
      <c r="C692" s="2"/>
      <c r="D692" s="2"/>
      <c r="E692" s="2"/>
      <c r="H692" s="3"/>
    </row>
    <row r="693" customFormat="false" ht="15.75" hidden="false" customHeight="false" outlineLevel="0" collapsed="false">
      <c r="B693" s="2"/>
      <c r="C693" s="2"/>
      <c r="D693" s="2"/>
      <c r="E693" s="2"/>
      <c r="H693" s="3"/>
    </row>
    <row r="694" customFormat="false" ht="15.75" hidden="false" customHeight="false" outlineLevel="0" collapsed="false">
      <c r="B694" s="2"/>
      <c r="C694" s="2"/>
      <c r="D694" s="2"/>
      <c r="E694" s="2"/>
      <c r="H694" s="3"/>
    </row>
    <row r="695" customFormat="false" ht="15.75" hidden="false" customHeight="false" outlineLevel="0" collapsed="false">
      <c r="B695" s="2"/>
      <c r="C695" s="2"/>
      <c r="D695" s="2"/>
      <c r="E695" s="2"/>
      <c r="H695" s="3"/>
    </row>
    <row r="696" customFormat="false" ht="15.75" hidden="false" customHeight="false" outlineLevel="0" collapsed="false">
      <c r="B696" s="2"/>
      <c r="C696" s="2"/>
      <c r="D696" s="2"/>
      <c r="E696" s="2"/>
      <c r="H696" s="3"/>
    </row>
    <row r="697" customFormat="false" ht="15.75" hidden="false" customHeight="false" outlineLevel="0" collapsed="false">
      <c r="B697" s="2"/>
      <c r="C697" s="2"/>
      <c r="D697" s="2"/>
      <c r="E697" s="2"/>
      <c r="H697" s="3"/>
    </row>
    <row r="698" customFormat="false" ht="15.75" hidden="false" customHeight="false" outlineLevel="0" collapsed="false">
      <c r="B698" s="2"/>
      <c r="C698" s="2"/>
      <c r="D698" s="2"/>
      <c r="E698" s="2"/>
      <c r="H698" s="3"/>
    </row>
    <row r="699" customFormat="false" ht="15.75" hidden="false" customHeight="false" outlineLevel="0" collapsed="false">
      <c r="B699" s="2"/>
      <c r="C699" s="2"/>
      <c r="D699" s="2"/>
      <c r="E699" s="2"/>
      <c r="H699" s="3"/>
    </row>
    <row r="700" customFormat="false" ht="15.75" hidden="false" customHeight="false" outlineLevel="0" collapsed="false">
      <c r="B700" s="2"/>
      <c r="C700" s="2"/>
      <c r="D700" s="2"/>
      <c r="E700" s="2"/>
      <c r="H700" s="3"/>
    </row>
    <row r="701" customFormat="false" ht="15.75" hidden="false" customHeight="false" outlineLevel="0" collapsed="false">
      <c r="B701" s="2"/>
      <c r="C701" s="2"/>
      <c r="D701" s="2"/>
      <c r="E701" s="2"/>
      <c r="H701" s="3"/>
    </row>
    <row r="702" customFormat="false" ht="15.75" hidden="false" customHeight="false" outlineLevel="0" collapsed="false">
      <c r="B702" s="2"/>
      <c r="C702" s="2"/>
      <c r="D702" s="2"/>
      <c r="E702" s="2"/>
      <c r="H702" s="3"/>
    </row>
    <row r="703" customFormat="false" ht="15.75" hidden="false" customHeight="false" outlineLevel="0" collapsed="false">
      <c r="B703" s="2"/>
      <c r="C703" s="2"/>
      <c r="D703" s="2"/>
      <c r="E703" s="2"/>
      <c r="H703" s="3"/>
    </row>
    <row r="704" customFormat="false" ht="15.75" hidden="false" customHeight="false" outlineLevel="0" collapsed="false">
      <c r="B704" s="2"/>
      <c r="C704" s="2"/>
      <c r="D704" s="2"/>
      <c r="E704" s="2"/>
      <c r="H704" s="3"/>
    </row>
    <row r="705" customFormat="false" ht="15.75" hidden="false" customHeight="false" outlineLevel="0" collapsed="false">
      <c r="B705" s="2"/>
      <c r="C705" s="2"/>
      <c r="D705" s="2"/>
      <c r="E705" s="2"/>
      <c r="H705" s="3"/>
    </row>
    <row r="706" customFormat="false" ht="15.75" hidden="false" customHeight="false" outlineLevel="0" collapsed="false">
      <c r="B706" s="2"/>
      <c r="C706" s="2"/>
      <c r="D706" s="2"/>
      <c r="E706" s="2"/>
      <c r="H706" s="3"/>
    </row>
    <row r="707" customFormat="false" ht="15.75" hidden="false" customHeight="false" outlineLevel="0" collapsed="false">
      <c r="B707" s="2"/>
      <c r="C707" s="2"/>
      <c r="D707" s="2"/>
      <c r="E707" s="2"/>
      <c r="H707" s="3"/>
    </row>
    <row r="708" customFormat="false" ht="15.75" hidden="false" customHeight="false" outlineLevel="0" collapsed="false">
      <c r="B708" s="2"/>
      <c r="C708" s="2"/>
      <c r="D708" s="2"/>
      <c r="E708" s="2"/>
      <c r="H708" s="3"/>
    </row>
    <row r="709" customFormat="false" ht="15.75" hidden="false" customHeight="false" outlineLevel="0" collapsed="false">
      <c r="B709" s="2"/>
      <c r="C709" s="2"/>
      <c r="D709" s="2"/>
      <c r="E709" s="2"/>
      <c r="H709" s="3"/>
    </row>
    <row r="710" customFormat="false" ht="15.75" hidden="false" customHeight="false" outlineLevel="0" collapsed="false">
      <c r="B710" s="2"/>
      <c r="C710" s="2"/>
      <c r="D710" s="2"/>
      <c r="E710" s="2"/>
      <c r="H710" s="3"/>
    </row>
    <row r="711" customFormat="false" ht="15.75" hidden="false" customHeight="false" outlineLevel="0" collapsed="false">
      <c r="B711" s="2"/>
      <c r="C711" s="2"/>
      <c r="D711" s="2"/>
      <c r="E711" s="2"/>
      <c r="H711" s="3"/>
    </row>
    <row r="712" customFormat="false" ht="15.75" hidden="false" customHeight="false" outlineLevel="0" collapsed="false">
      <c r="B712" s="2"/>
      <c r="C712" s="2"/>
      <c r="D712" s="2"/>
      <c r="E712" s="2"/>
      <c r="H712" s="3"/>
    </row>
    <row r="713" customFormat="false" ht="15.75" hidden="false" customHeight="false" outlineLevel="0" collapsed="false">
      <c r="B713" s="2"/>
      <c r="C713" s="2"/>
      <c r="D713" s="2"/>
      <c r="E713" s="2"/>
      <c r="H713" s="3"/>
    </row>
    <row r="714" customFormat="false" ht="15.75" hidden="false" customHeight="false" outlineLevel="0" collapsed="false">
      <c r="B714" s="2"/>
      <c r="C714" s="2"/>
      <c r="D714" s="2"/>
      <c r="E714" s="2"/>
      <c r="H714" s="3"/>
    </row>
    <row r="715" customFormat="false" ht="15.75" hidden="false" customHeight="false" outlineLevel="0" collapsed="false">
      <c r="B715" s="2"/>
      <c r="C715" s="2"/>
      <c r="D715" s="2"/>
      <c r="E715" s="2"/>
      <c r="H715" s="3"/>
    </row>
    <row r="716" customFormat="false" ht="15.75" hidden="false" customHeight="false" outlineLevel="0" collapsed="false">
      <c r="B716" s="2"/>
      <c r="C716" s="2"/>
      <c r="D716" s="2"/>
      <c r="E716" s="2"/>
      <c r="H716" s="3"/>
    </row>
    <row r="717" customFormat="false" ht="15.75" hidden="false" customHeight="false" outlineLevel="0" collapsed="false">
      <c r="B717" s="2"/>
      <c r="C717" s="2"/>
      <c r="D717" s="2"/>
      <c r="E717" s="2"/>
      <c r="H717" s="3"/>
    </row>
    <row r="718" customFormat="false" ht="15.75" hidden="false" customHeight="false" outlineLevel="0" collapsed="false">
      <c r="B718" s="2"/>
      <c r="C718" s="2"/>
      <c r="D718" s="2"/>
      <c r="E718" s="2"/>
      <c r="H718" s="3"/>
    </row>
    <row r="719" customFormat="false" ht="15.75" hidden="false" customHeight="false" outlineLevel="0" collapsed="false">
      <c r="B719" s="2"/>
      <c r="C719" s="2"/>
      <c r="D719" s="2"/>
      <c r="E719" s="2"/>
      <c r="H719" s="3"/>
    </row>
    <row r="720" customFormat="false" ht="15.75" hidden="false" customHeight="false" outlineLevel="0" collapsed="false">
      <c r="B720" s="2"/>
      <c r="C720" s="2"/>
      <c r="D720" s="2"/>
      <c r="E720" s="2"/>
      <c r="H720" s="3"/>
    </row>
    <row r="721" customFormat="false" ht="15.75" hidden="false" customHeight="false" outlineLevel="0" collapsed="false">
      <c r="B721" s="2"/>
      <c r="C721" s="2"/>
      <c r="D721" s="2"/>
      <c r="E721" s="2"/>
      <c r="H721" s="3"/>
    </row>
    <row r="722" customFormat="false" ht="15.75" hidden="false" customHeight="false" outlineLevel="0" collapsed="false">
      <c r="B722" s="2"/>
      <c r="C722" s="2"/>
      <c r="D722" s="2"/>
      <c r="E722" s="2"/>
      <c r="H722" s="3"/>
    </row>
    <row r="723" customFormat="false" ht="15.75" hidden="false" customHeight="false" outlineLevel="0" collapsed="false">
      <c r="B723" s="2"/>
      <c r="C723" s="2"/>
      <c r="D723" s="2"/>
      <c r="E723" s="2"/>
      <c r="H723" s="3"/>
    </row>
    <row r="724" customFormat="false" ht="15.75" hidden="false" customHeight="false" outlineLevel="0" collapsed="false">
      <c r="B724" s="2"/>
      <c r="C724" s="2"/>
      <c r="D724" s="2"/>
      <c r="E724" s="2"/>
      <c r="H724" s="3"/>
    </row>
    <row r="725" customFormat="false" ht="15.75" hidden="false" customHeight="false" outlineLevel="0" collapsed="false">
      <c r="B725" s="2"/>
      <c r="C725" s="2"/>
      <c r="D725" s="2"/>
      <c r="E725" s="2"/>
      <c r="H725" s="3"/>
    </row>
    <row r="726" customFormat="false" ht="15.75" hidden="false" customHeight="false" outlineLevel="0" collapsed="false">
      <c r="B726" s="2"/>
      <c r="C726" s="2"/>
      <c r="D726" s="2"/>
      <c r="E726" s="2"/>
      <c r="H726" s="3"/>
    </row>
    <row r="727" customFormat="false" ht="15.75" hidden="false" customHeight="false" outlineLevel="0" collapsed="false">
      <c r="B727" s="2"/>
      <c r="C727" s="2"/>
      <c r="D727" s="2"/>
      <c r="E727" s="2"/>
      <c r="H727" s="3"/>
    </row>
    <row r="728" customFormat="false" ht="15.75" hidden="false" customHeight="false" outlineLevel="0" collapsed="false">
      <c r="B728" s="2"/>
      <c r="C728" s="2"/>
      <c r="D728" s="2"/>
      <c r="E728" s="2"/>
      <c r="H728" s="3"/>
    </row>
    <row r="729" customFormat="false" ht="15.75" hidden="false" customHeight="false" outlineLevel="0" collapsed="false">
      <c r="B729" s="2"/>
      <c r="C729" s="2"/>
      <c r="D729" s="2"/>
      <c r="E729" s="2"/>
      <c r="H729" s="3"/>
    </row>
    <row r="730" customFormat="false" ht="15.75" hidden="false" customHeight="false" outlineLevel="0" collapsed="false">
      <c r="B730" s="2"/>
      <c r="C730" s="2"/>
      <c r="D730" s="2"/>
      <c r="E730" s="2"/>
      <c r="H730" s="3"/>
    </row>
    <row r="731" customFormat="false" ht="15.75" hidden="false" customHeight="false" outlineLevel="0" collapsed="false">
      <c r="B731" s="2"/>
      <c r="C731" s="2"/>
      <c r="D731" s="2"/>
      <c r="E731" s="2"/>
      <c r="H731" s="3"/>
    </row>
    <row r="732" customFormat="false" ht="15.75" hidden="false" customHeight="false" outlineLevel="0" collapsed="false">
      <c r="B732" s="2"/>
      <c r="C732" s="2"/>
      <c r="D732" s="2"/>
      <c r="E732" s="2"/>
      <c r="H732" s="3"/>
    </row>
    <row r="733" customFormat="false" ht="15.75" hidden="false" customHeight="false" outlineLevel="0" collapsed="false">
      <c r="B733" s="2"/>
      <c r="C733" s="2"/>
      <c r="D733" s="2"/>
      <c r="E733" s="2"/>
      <c r="H733" s="3"/>
    </row>
    <row r="734" customFormat="false" ht="15.75" hidden="false" customHeight="false" outlineLevel="0" collapsed="false">
      <c r="B734" s="2"/>
      <c r="C734" s="2"/>
      <c r="D734" s="2"/>
      <c r="E734" s="2"/>
      <c r="H734" s="3"/>
    </row>
    <row r="735" customFormat="false" ht="15.75" hidden="false" customHeight="false" outlineLevel="0" collapsed="false">
      <c r="B735" s="2"/>
      <c r="C735" s="2"/>
      <c r="D735" s="2"/>
      <c r="E735" s="2"/>
      <c r="H735" s="3"/>
    </row>
    <row r="736" customFormat="false" ht="15.75" hidden="false" customHeight="false" outlineLevel="0" collapsed="false">
      <c r="B736" s="2"/>
      <c r="C736" s="2"/>
      <c r="D736" s="2"/>
      <c r="E736" s="2"/>
      <c r="H736" s="3"/>
    </row>
    <row r="737" customFormat="false" ht="15.75" hidden="false" customHeight="false" outlineLevel="0" collapsed="false">
      <c r="B737" s="2"/>
      <c r="C737" s="2"/>
      <c r="D737" s="2"/>
      <c r="E737" s="2"/>
      <c r="H737" s="3"/>
    </row>
    <row r="738" customFormat="false" ht="15.75" hidden="false" customHeight="false" outlineLevel="0" collapsed="false">
      <c r="B738" s="2"/>
      <c r="C738" s="2"/>
      <c r="D738" s="2"/>
      <c r="E738" s="2"/>
      <c r="H738" s="3"/>
    </row>
    <row r="739" customFormat="false" ht="15.75" hidden="false" customHeight="false" outlineLevel="0" collapsed="false">
      <c r="B739" s="2"/>
      <c r="C739" s="2"/>
      <c r="D739" s="2"/>
      <c r="E739" s="2"/>
      <c r="H739" s="3"/>
    </row>
    <row r="740" customFormat="false" ht="15.75" hidden="false" customHeight="false" outlineLevel="0" collapsed="false">
      <c r="B740" s="2"/>
      <c r="C740" s="2"/>
      <c r="D740" s="2"/>
      <c r="E740" s="2"/>
      <c r="H740" s="3"/>
    </row>
    <row r="741" customFormat="false" ht="15.75" hidden="false" customHeight="false" outlineLevel="0" collapsed="false">
      <c r="B741" s="2"/>
      <c r="C741" s="2"/>
      <c r="D741" s="2"/>
      <c r="E741" s="2"/>
      <c r="H741" s="3"/>
    </row>
    <row r="742" customFormat="false" ht="15.75" hidden="false" customHeight="false" outlineLevel="0" collapsed="false">
      <c r="B742" s="2"/>
      <c r="C742" s="2"/>
      <c r="D742" s="2"/>
      <c r="E742" s="2"/>
      <c r="H742" s="3"/>
    </row>
    <row r="743" customFormat="false" ht="15.75" hidden="false" customHeight="false" outlineLevel="0" collapsed="false">
      <c r="B743" s="2"/>
      <c r="C743" s="2"/>
      <c r="D743" s="2"/>
      <c r="E743" s="2"/>
      <c r="H743" s="3"/>
    </row>
    <row r="744" customFormat="false" ht="15.75" hidden="false" customHeight="false" outlineLevel="0" collapsed="false">
      <c r="B744" s="2"/>
      <c r="C744" s="2"/>
      <c r="D744" s="2"/>
      <c r="E744" s="2"/>
      <c r="H744" s="3"/>
    </row>
    <row r="745" customFormat="false" ht="15.75" hidden="false" customHeight="false" outlineLevel="0" collapsed="false">
      <c r="B745" s="2"/>
      <c r="C745" s="2"/>
      <c r="D745" s="2"/>
      <c r="E745" s="2"/>
      <c r="H745" s="3"/>
    </row>
    <row r="746" customFormat="false" ht="15.75" hidden="false" customHeight="false" outlineLevel="0" collapsed="false">
      <c r="B746" s="2"/>
      <c r="C746" s="2"/>
      <c r="D746" s="2"/>
      <c r="E746" s="2"/>
      <c r="H746" s="3"/>
    </row>
    <row r="747" customFormat="false" ht="15.75" hidden="false" customHeight="false" outlineLevel="0" collapsed="false">
      <c r="B747" s="2"/>
      <c r="C747" s="2"/>
      <c r="D747" s="2"/>
      <c r="E747" s="2"/>
      <c r="H747" s="3"/>
    </row>
    <row r="748" customFormat="false" ht="15.75" hidden="false" customHeight="false" outlineLevel="0" collapsed="false">
      <c r="B748" s="2"/>
      <c r="C748" s="2"/>
      <c r="D748" s="2"/>
      <c r="E748" s="2"/>
      <c r="H748" s="3"/>
    </row>
    <row r="749" customFormat="false" ht="15.75" hidden="false" customHeight="false" outlineLevel="0" collapsed="false">
      <c r="B749" s="2"/>
      <c r="C749" s="2"/>
      <c r="D749" s="2"/>
      <c r="E749" s="2"/>
      <c r="H749" s="3"/>
    </row>
    <row r="750" customFormat="false" ht="15.75" hidden="false" customHeight="false" outlineLevel="0" collapsed="false">
      <c r="B750" s="2"/>
      <c r="C750" s="2"/>
      <c r="D750" s="2"/>
      <c r="E750" s="2"/>
      <c r="H750" s="3"/>
    </row>
    <row r="751" customFormat="false" ht="15.75" hidden="false" customHeight="false" outlineLevel="0" collapsed="false">
      <c r="B751" s="2"/>
      <c r="C751" s="2"/>
      <c r="D751" s="2"/>
      <c r="E751" s="2"/>
      <c r="H751" s="3"/>
    </row>
    <row r="752" customFormat="false" ht="15.75" hidden="false" customHeight="false" outlineLevel="0" collapsed="false">
      <c r="B752" s="2"/>
      <c r="C752" s="2"/>
      <c r="D752" s="2"/>
      <c r="E752" s="2"/>
      <c r="H752" s="3"/>
    </row>
    <row r="753" customFormat="false" ht="15.75" hidden="false" customHeight="false" outlineLevel="0" collapsed="false">
      <c r="B753" s="2"/>
      <c r="C753" s="2"/>
      <c r="D753" s="2"/>
      <c r="E753" s="2"/>
      <c r="H753" s="3"/>
    </row>
    <row r="754" customFormat="false" ht="15.75" hidden="false" customHeight="false" outlineLevel="0" collapsed="false">
      <c r="B754" s="2"/>
      <c r="C754" s="2"/>
      <c r="D754" s="2"/>
      <c r="E754" s="2"/>
      <c r="H754" s="3"/>
    </row>
    <row r="755" customFormat="false" ht="15.75" hidden="false" customHeight="false" outlineLevel="0" collapsed="false">
      <c r="B755" s="2"/>
      <c r="C755" s="2"/>
      <c r="D755" s="2"/>
      <c r="E755" s="2"/>
      <c r="H755" s="3"/>
    </row>
    <row r="756" customFormat="false" ht="15.75" hidden="false" customHeight="false" outlineLevel="0" collapsed="false">
      <c r="B756" s="2"/>
      <c r="C756" s="2"/>
      <c r="D756" s="2"/>
      <c r="E756" s="2"/>
      <c r="H756" s="3"/>
    </row>
    <row r="757" customFormat="false" ht="15.75" hidden="false" customHeight="false" outlineLevel="0" collapsed="false">
      <c r="B757" s="2"/>
      <c r="C757" s="2"/>
      <c r="D757" s="2"/>
      <c r="E757" s="2"/>
      <c r="H757" s="3"/>
    </row>
    <row r="758" customFormat="false" ht="15.75" hidden="false" customHeight="false" outlineLevel="0" collapsed="false">
      <c r="B758" s="2"/>
      <c r="C758" s="2"/>
      <c r="D758" s="2"/>
      <c r="E758" s="2"/>
      <c r="H758" s="3"/>
    </row>
    <row r="759" customFormat="false" ht="15.75" hidden="false" customHeight="false" outlineLevel="0" collapsed="false">
      <c r="B759" s="2"/>
      <c r="C759" s="2"/>
      <c r="D759" s="2"/>
      <c r="E759" s="2"/>
      <c r="H759" s="3"/>
    </row>
    <row r="760" customFormat="false" ht="15.75" hidden="false" customHeight="false" outlineLevel="0" collapsed="false">
      <c r="B760" s="2"/>
      <c r="C760" s="2"/>
      <c r="D760" s="2"/>
      <c r="E760" s="2"/>
      <c r="H760" s="3"/>
    </row>
    <row r="761" customFormat="false" ht="15.75" hidden="false" customHeight="false" outlineLevel="0" collapsed="false">
      <c r="B761" s="2"/>
      <c r="C761" s="2"/>
      <c r="D761" s="2"/>
      <c r="E761" s="2"/>
      <c r="H761" s="3"/>
    </row>
    <row r="762" customFormat="false" ht="15.75" hidden="false" customHeight="false" outlineLevel="0" collapsed="false">
      <c r="B762" s="2"/>
      <c r="C762" s="2"/>
      <c r="D762" s="2"/>
      <c r="E762" s="2"/>
      <c r="H762" s="3"/>
    </row>
    <row r="763" customFormat="false" ht="15.75" hidden="false" customHeight="false" outlineLevel="0" collapsed="false">
      <c r="B763" s="2"/>
      <c r="C763" s="2"/>
      <c r="D763" s="2"/>
      <c r="E763" s="2"/>
      <c r="H763" s="3"/>
    </row>
    <row r="764" customFormat="false" ht="15.75" hidden="false" customHeight="false" outlineLevel="0" collapsed="false">
      <c r="B764" s="2"/>
      <c r="C764" s="2"/>
      <c r="D764" s="2"/>
      <c r="E764" s="2"/>
      <c r="H764" s="3"/>
    </row>
    <row r="765" customFormat="false" ht="15.75" hidden="false" customHeight="false" outlineLevel="0" collapsed="false">
      <c r="B765" s="2"/>
      <c r="C765" s="2"/>
      <c r="D765" s="2"/>
      <c r="E765" s="2"/>
      <c r="H765" s="3"/>
    </row>
    <row r="766" customFormat="false" ht="15.75" hidden="false" customHeight="false" outlineLevel="0" collapsed="false">
      <c r="B766" s="2"/>
      <c r="C766" s="2"/>
      <c r="D766" s="2"/>
      <c r="E766" s="2"/>
      <c r="H766" s="3"/>
    </row>
    <row r="767" customFormat="false" ht="15.75" hidden="false" customHeight="false" outlineLevel="0" collapsed="false">
      <c r="B767" s="2"/>
      <c r="C767" s="2"/>
      <c r="D767" s="2"/>
      <c r="E767" s="2"/>
      <c r="H767" s="3"/>
    </row>
    <row r="768" customFormat="false" ht="15.75" hidden="false" customHeight="false" outlineLevel="0" collapsed="false">
      <c r="B768" s="2"/>
      <c r="C768" s="2"/>
      <c r="D768" s="2"/>
      <c r="E768" s="2"/>
      <c r="H768" s="3"/>
    </row>
    <row r="769" customFormat="false" ht="15.75" hidden="false" customHeight="false" outlineLevel="0" collapsed="false">
      <c r="B769" s="2"/>
      <c r="C769" s="2"/>
      <c r="D769" s="2"/>
      <c r="E769" s="2"/>
      <c r="H769" s="3"/>
    </row>
    <row r="770" customFormat="false" ht="15.75" hidden="false" customHeight="false" outlineLevel="0" collapsed="false">
      <c r="B770" s="2"/>
      <c r="C770" s="2"/>
      <c r="D770" s="2"/>
      <c r="E770" s="2"/>
      <c r="H770" s="3"/>
    </row>
    <row r="771" customFormat="false" ht="15.75" hidden="false" customHeight="false" outlineLevel="0" collapsed="false">
      <c r="B771" s="2"/>
      <c r="C771" s="2"/>
      <c r="D771" s="2"/>
      <c r="E771" s="2"/>
      <c r="H771" s="3"/>
    </row>
    <row r="772" customFormat="false" ht="15.75" hidden="false" customHeight="false" outlineLevel="0" collapsed="false">
      <c r="B772" s="2"/>
      <c r="C772" s="2"/>
      <c r="D772" s="2"/>
      <c r="E772" s="2"/>
      <c r="H772" s="3"/>
    </row>
    <row r="773" customFormat="false" ht="15.75" hidden="false" customHeight="false" outlineLevel="0" collapsed="false">
      <c r="B773" s="2"/>
      <c r="C773" s="2"/>
      <c r="D773" s="2"/>
      <c r="E773" s="2"/>
      <c r="H773" s="3"/>
    </row>
    <row r="774" customFormat="false" ht="15.75" hidden="false" customHeight="false" outlineLevel="0" collapsed="false">
      <c r="B774" s="2"/>
      <c r="C774" s="2"/>
      <c r="D774" s="2"/>
      <c r="E774" s="2"/>
      <c r="H774" s="3"/>
    </row>
    <row r="775" customFormat="false" ht="15.75" hidden="false" customHeight="false" outlineLevel="0" collapsed="false">
      <c r="B775" s="2"/>
      <c r="C775" s="2"/>
      <c r="D775" s="2"/>
      <c r="E775" s="2"/>
      <c r="H775" s="3"/>
    </row>
    <row r="776" customFormat="false" ht="15.75" hidden="false" customHeight="false" outlineLevel="0" collapsed="false">
      <c r="B776" s="2"/>
      <c r="C776" s="2"/>
      <c r="D776" s="2"/>
      <c r="E776" s="2"/>
      <c r="H776" s="3"/>
    </row>
    <row r="777" customFormat="false" ht="15.75" hidden="false" customHeight="false" outlineLevel="0" collapsed="false">
      <c r="B777" s="2"/>
      <c r="C777" s="2"/>
      <c r="D777" s="2"/>
      <c r="E777" s="2"/>
      <c r="H777" s="3"/>
    </row>
    <row r="778" customFormat="false" ht="15.75" hidden="false" customHeight="false" outlineLevel="0" collapsed="false">
      <c r="B778" s="2"/>
      <c r="C778" s="2"/>
      <c r="D778" s="2"/>
      <c r="E778" s="2"/>
      <c r="H778" s="3"/>
    </row>
    <row r="779" customFormat="false" ht="15.75" hidden="false" customHeight="false" outlineLevel="0" collapsed="false">
      <c r="B779" s="2"/>
      <c r="C779" s="2"/>
      <c r="D779" s="2"/>
      <c r="E779" s="2"/>
      <c r="H779" s="3"/>
    </row>
    <row r="780" customFormat="false" ht="15.75" hidden="false" customHeight="false" outlineLevel="0" collapsed="false">
      <c r="B780" s="2"/>
      <c r="C780" s="2"/>
      <c r="D780" s="2"/>
      <c r="E780" s="2"/>
      <c r="H780" s="3"/>
    </row>
    <row r="781" customFormat="false" ht="15.75" hidden="false" customHeight="false" outlineLevel="0" collapsed="false">
      <c r="B781" s="2"/>
      <c r="C781" s="2"/>
      <c r="D781" s="2"/>
      <c r="E781" s="2"/>
      <c r="H781" s="3"/>
    </row>
    <row r="782" customFormat="false" ht="15.75" hidden="false" customHeight="false" outlineLevel="0" collapsed="false">
      <c r="B782" s="2"/>
      <c r="C782" s="2"/>
      <c r="D782" s="2"/>
      <c r="E782" s="2"/>
      <c r="H782" s="3"/>
    </row>
    <row r="783" customFormat="false" ht="15.75" hidden="false" customHeight="false" outlineLevel="0" collapsed="false">
      <c r="B783" s="2"/>
      <c r="C783" s="2"/>
      <c r="D783" s="2"/>
      <c r="E783" s="2"/>
      <c r="H783" s="3"/>
    </row>
    <row r="784" customFormat="false" ht="15.75" hidden="false" customHeight="false" outlineLevel="0" collapsed="false">
      <c r="B784" s="2"/>
      <c r="C784" s="2"/>
      <c r="D784" s="2"/>
      <c r="E784" s="2"/>
      <c r="H784" s="3"/>
    </row>
    <row r="785" customFormat="false" ht="15.75" hidden="false" customHeight="false" outlineLevel="0" collapsed="false">
      <c r="B785" s="2"/>
      <c r="C785" s="2"/>
      <c r="D785" s="2"/>
      <c r="E785" s="2"/>
      <c r="H785" s="3"/>
    </row>
    <row r="786" customFormat="false" ht="15.75" hidden="false" customHeight="false" outlineLevel="0" collapsed="false">
      <c r="B786" s="2"/>
      <c r="C786" s="2"/>
      <c r="D786" s="2"/>
      <c r="E786" s="2"/>
      <c r="H786" s="3"/>
    </row>
    <row r="787" customFormat="false" ht="15.75" hidden="false" customHeight="false" outlineLevel="0" collapsed="false">
      <c r="B787" s="2"/>
      <c r="C787" s="2"/>
      <c r="D787" s="2"/>
      <c r="E787" s="2"/>
      <c r="H787" s="3"/>
    </row>
    <row r="788" customFormat="false" ht="15.75" hidden="false" customHeight="false" outlineLevel="0" collapsed="false">
      <c r="B788" s="2"/>
      <c r="C788" s="2"/>
      <c r="D788" s="2"/>
      <c r="E788" s="2"/>
      <c r="H788" s="3"/>
    </row>
    <row r="789" customFormat="false" ht="15.75" hidden="false" customHeight="false" outlineLevel="0" collapsed="false">
      <c r="B789" s="2"/>
      <c r="C789" s="2"/>
      <c r="D789" s="2"/>
      <c r="E789" s="2"/>
      <c r="H789" s="3"/>
    </row>
    <row r="790" customFormat="false" ht="15.75" hidden="false" customHeight="false" outlineLevel="0" collapsed="false">
      <c r="B790" s="2"/>
      <c r="C790" s="2"/>
      <c r="D790" s="2"/>
      <c r="E790" s="2"/>
      <c r="H790" s="3"/>
    </row>
    <row r="791" customFormat="false" ht="15.75" hidden="false" customHeight="false" outlineLevel="0" collapsed="false">
      <c r="B791" s="2"/>
      <c r="C791" s="2"/>
      <c r="D791" s="2"/>
      <c r="E791" s="2"/>
      <c r="H791" s="3"/>
    </row>
    <row r="792" customFormat="false" ht="15.75" hidden="false" customHeight="false" outlineLevel="0" collapsed="false">
      <c r="B792" s="2"/>
      <c r="C792" s="2"/>
      <c r="D792" s="2"/>
      <c r="E792" s="2"/>
      <c r="H792" s="3"/>
    </row>
    <row r="793" customFormat="false" ht="15.75" hidden="false" customHeight="false" outlineLevel="0" collapsed="false">
      <c r="B793" s="2"/>
      <c r="C793" s="2"/>
      <c r="D793" s="2"/>
      <c r="E793" s="2"/>
      <c r="H793" s="3"/>
    </row>
    <row r="794" customFormat="false" ht="15.75" hidden="false" customHeight="false" outlineLevel="0" collapsed="false">
      <c r="B794" s="2"/>
      <c r="C794" s="2"/>
      <c r="D794" s="2"/>
      <c r="E794" s="2"/>
      <c r="H794" s="3"/>
    </row>
    <row r="795" customFormat="false" ht="15.75" hidden="false" customHeight="false" outlineLevel="0" collapsed="false">
      <c r="B795" s="2"/>
      <c r="C795" s="2"/>
      <c r="D795" s="2"/>
      <c r="E795" s="2"/>
      <c r="H795" s="3"/>
    </row>
    <row r="796" customFormat="false" ht="15.75" hidden="false" customHeight="false" outlineLevel="0" collapsed="false">
      <c r="B796" s="2"/>
      <c r="C796" s="2"/>
      <c r="D796" s="2"/>
      <c r="E796" s="2"/>
      <c r="H796" s="3"/>
    </row>
    <row r="797" customFormat="false" ht="15.75" hidden="false" customHeight="false" outlineLevel="0" collapsed="false">
      <c r="B797" s="2"/>
      <c r="C797" s="2"/>
      <c r="D797" s="2"/>
      <c r="E797" s="2"/>
      <c r="H797" s="3"/>
    </row>
    <row r="798" customFormat="false" ht="15.75" hidden="false" customHeight="false" outlineLevel="0" collapsed="false">
      <c r="B798" s="2"/>
      <c r="C798" s="2"/>
      <c r="D798" s="2"/>
      <c r="E798" s="2"/>
      <c r="H798" s="3"/>
    </row>
    <row r="799" customFormat="false" ht="15.75" hidden="false" customHeight="false" outlineLevel="0" collapsed="false">
      <c r="B799" s="2"/>
      <c r="C799" s="2"/>
      <c r="D799" s="2"/>
      <c r="E799" s="2"/>
      <c r="H799" s="3"/>
    </row>
    <row r="800" customFormat="false" ht="15.75" hidden="false" customHeight="false" outlineLevel="0" collapsed="false">
      <c r="B800" s="2"/>
      <c r="C800" s="2"/>
      <c r="D800" s="2"/>
      <c r="E800" s="2"/>
      <c r="H800" s="3"/>
    </row>
    <row r="801" customFormat="false" ht="15.75" hidden="false" customHeight="false" outlineLevel="0" collapsed="false">
      <c r="B801" s="2"/>
      <c r="C801" s="2"/>
      <c r="D801" s="2"/>
      <c r="E801" s="2"/>
      <c r="H801" s="3"/>
    </row>
    <row r="802" customFormat="false" ht="15.75" hidden="false" customHeight="false" outlineLevel="0" collapsed="false">
      <c r="B802" s="2"/>
      <c r="C802" s="2"/>
      <c r="D802" s="2"/>
      <c r="E802" s="2"/>
      <c r="H802" s="3"/>
    </row>
    <row r="803" customFormat="false" ht="15.75" hidden="false" customHeight="false" outlineLevel="0" collapsed="false">
      <c r="B803" s="2"/>
      <c r="C803" s="2"/>
      <c r="D803" s="2"/>
      <c r="E803" s="2"/>
      <c r="H803" s="3"/>
    </row>
    <row r="804" customFormat="false" ht="15.75" hidden="false" customHeight="false" outlineLevel="0" collapsed="false">
      <c r="B804" s="2"/>
      <c r="C804" s="2"/>
      <c r="D804" s="2"/>
      <c r="E804" s="2"/>
      <c r="H804" s="3"/>
    </row>
    <row r="805" customFormat="false" ht="15.75" hidden="false" customHeight="false" outlineLevel="0" collapsed="false">
      <c r="B805" s="2"/>
      <c r="C805" s="2"/>
      <c r="D805" s="2"/>
      <c r="E805" s="2"/>
      <c r="H805" s="3"/>
    </row>
    <row r="806" customFormat="false" ht="15.75" hidden="false" customHeight="false" outlineLevel="0" collapsed="false">
      <c r="B806" s="2"/>
      <c r="C806" s="2"/>
      <c r="D806" s="2"/>
      <c r="E806" s="2"/>
      <c r="H806" s="3"/>
    </row>
    <row r="807" customFormat="false" ht="15.75" hidden="false" customHeight="false" outlineLevel="0" collapsed="false">
      <c r="B807" s="2"/>
      <c r="C807" s="2"/>
      <c r="D807" s="2"/>
      <c r="E807" s="2"/>
      <c r="H807" s="3"/>
    </row>
    <row r="808" customFormat="false" ht="15.75" hidden="false" customHeight="false" outlineLevel="0" collapsed="false">
      <c r="B808" s="2"/>
      <c r="C808" s="2"/>
      <c r="D808" s="2"/>
      <c r="E808" s="2"/>
      <c r="H808" s="3"/>
    </row>
    <row r="809" customFormat="false" ht="15.75" hidden="false" customHeight="false" outlineLevel="0" collapsed="false">
      <c r="B809" s="2"/>
      <c r="C809" s="2"/>
      <c r="D809" s="2"/>
      <c r="E809" s="2"/>
      <c r="H809" s="3"/>
    </row>
    <row r="810" customFormat="false" ht="15.75" hidden="false" customHeight="false" outlineLevel="0" collapsed="false">
      <c r="B810" s="2"/>
      <c r="C810" s="2"/>
      <c r="D810" s="2"/>
      <c r="E810" s="2"/>
      <c r="H810" s="3"/>
    </row>
    <row r="811" customFormat="false" ht="15.75" hidden="false" customHeight="false" outlineLevel="0" collapsed="false">
      <c r="B811" s="2"/>
      <c r="C811" s="2"/>
      <c r="D811" s="2"/>
      <c r="E811" s="2"/>
      <c r="H811" s="3"/>
    </row>
    <row r="812" customFormat="false" ht="15.75" hidden="false" customHeight="false" outlineLevel="0" collapsed="false">
      <c r="B812" s="2"/>
      <c r="C812" s="2"/>
      <c r="D812" s="2"/>
      <c r="E812" s="2"/>
      <c r="H812" s="3"/>
    </row>
    <row r="813" customFormat="false" ht="15.75" hidden="false" customHeight="false" outlineLevel="0" collapsed="false">
      <c r="B813" s="2"/>
      <c r="C813" s="2"/>
      <c r="D813" s="2"/>
      <c r="E813" s="2"/>
      <c r="H813" s="3"/>
    </row>
    <row r="814" customFormat="false" ht="15.75" hidden="false" customHeight="false" outlineLevel="0" collapsed="false">
      <c r="B814" s="2"/>
      <c r="C814" s="2"/>
      <c r="D814" s="2"/>
      <c r="E814" s="2"/>
      <c r="H814" s="3"/>
    </row>
    <row r="815" customFormat="false" ht="15.75" hidden="false" customHeight="false" outlineLevel="0" collapsed="false">
      <c r="B815" s="2"/>
      <c r="C815" s="2"/>
      <c r="D815" s="2"/>
      <c r="E815" s="2"/>
      <c r="H815" s="3"/>
    </row>
    <row r="816" customFormat="false" ht="15.75" hidden="false" customHeight="false" outlineLevel="0" collapsed="false">
      <c r="B816" s="2"/>
      <c r="C816" s="2"/>
      <c r="D816" s="2"/>
      <c r="E816" s="2"/>
      <c r="H816" s="3"/>
    </row>
    <row r="817" customFormat="false" ht="15.75" hidden="false" customHeight="false" outlineLevel="0" collapsed="false">
      <c r="B817" s="2"/>
      <c r="C817" s="2"/>
      <c r="D817" s="2"/>
      <c r="E817" s="2"/>
      <c r="H817" s="3"/>
    </row>
    <row r="818" customFormat="false" ht="15.75" hidden="false" customHeight="false" outlineLevel="0" collapsed="false">
      <c r="B818" s="2"/>
      <c r="C818" s="2"/>
      <c r="D818" s="2"/>
      <c r="E818" s="2"/>
      <c r="H818" s="3"/>
    </row>
    <row r="819" customFormat="false" ht="15.75" hidden="false" customHeight="false" outlineLevel="0" collapsed="false">
      <c r="B819" s="2"/>
      <c r="C819" s="2"/>
      <c r="D819" s="2"/>
      <c r="E819" s="2"/>
      <c r="H819" s="3"/>
    </row>
    <row r="820" customFormat="false" ht="15.75" hidden="false" customHeight="false" outlineLevel="0" collapsed="false">
      <c r="B820" s="2"/>
      <c r="C820" s="2"/>
      <c r="D820" s="2"/>
      <c r="E820" s="2"/>
      <c r="H820" s="3"/>
    </row>
    <row r="821" customFormat="false" ht="15.75" hidden="false" customHeight="false" outlineLevel="0" collapsed="false">
      <c r="B821" s="2"/>
      <c r="C821" s="2"/>
      <c r="D821" s="2"/>
      <c r="E821" s="2"/>
      <c r="H821" s="3"/>
    </row>
    <row r="822" customFormat="false" ht="15.75" hidden="false" customHeight="false" outlineLevel="0" collapsed="false">
      <c r="B822" s="2"/>
      <c r="C822" s="2"/>
      <c r="D822" s="2"/>
      <c r="E822" s="2"/>
      <c r="H822" s="3"/>
    </row>
    <row r="823" customFormat="false" ht="15.75" hidden="false" customHeight="false" outlineLevel="0" collapsed="false">
      <c r="B823" s="2"/>
      <c r="C823" s="2"/>
      <c r="D823" s="2"/>
      <c r="E823" s="2"/>
      <c r="H823" s="3"/>
    </row>
    <row r="824" customFormat="false" ht="15.75" hidden="false" customHeight="false" outlineLevel="0" collapsed="false">
      <c r="B824" s="2"/>
      <c r="C824" s="2"/>
      <c r="D824" s="2"/>
      <c r="E824" s="2"/>
      <c r="H824" s="3"/>
    </row>
    <row r="825" customFormat="false" ht="15.75" hidden="false" customHeight="false" outlineLevel="0" collapsed="false">
      <c r="B825" s="2"/>
      <c r="C825" s="2"/>
      <c r="D825" s="2"/>
      <c r="E825" s="2"/>
      <c r="H825" s="3"/>
    </row>
    <row r="826" customFormat="false" ht="15.75" hidden="false" customHeight="false" outlineLevel="0" collapsed="false">
      <c r="B826" s="2"/>
      <c r="C826" s="2"/>
      <c r="D826" s="2"/>
      <c r="E826" s="2"/>
      <c r="H826" s="3"/>
    </row>
    <row r="827" customFormat="false" ht="15.75" hidden="false" customHeight="false" outlineLevel="0" collapsed="false">
      <c r="B827" s="2"/>
      <c r="C827" s="2"/>
      <c r="D827" s="2"/>
      <c r="E827" s="2"/>
      <c r="H827" s="3"/>
    </row>
    <row r="828" customFormat="false" ht="15.75" hidden="false" customHeight="false" outlineLevel="0" collapsed="false">
      <c r="B828" s="2"/>
      <c r="C828" s="2"/>
      <c r="D828" s="2"/>
      <c r="E828" s="2"/>
      <c r="H828" s="3"/>
    </row>
    <row r="829" customFormat="false" ht="15.75" hidden="false" customHeight="false" outlineLevel="0" collapsed="false">
      <c r="B829" s="2"/>
      <c r="C829" s="2"/>
      <c r="D829" s="2"/>
      <c r="E829" s="2"/>
      <c r="H829" s="3"/>
    </row>
    <row r="830" customFormat="false" ht="15.75" hidden="false" customHeight="false" outlineLevel="0" collapsed="false">
      <c r="B830" s="2"/>
      <c r="C830" s="2"/>
      <c r="D830" s="2"/>
      <c r="E830" s="2"/>
      <c r="H830" s="3"/>
    </row>
    <row r="831" customFormat="false" ht="15.75" hidden="false" customHeight="false" outlineLevel="0" collapsed="false">
      <c r="B831" s="2"/>
      <c r="C831" s="2"/>
      <c r="D831" s="2"/>
      <c r="E831" s="2"/>
      <c r="H831" s="3"/>
    </row>
    <row r="832" customFormat="false" ht="15.75" hidden="false" customHeight="false" outlineLevel="0" collapsed="false">
      <c r="B832" s="2"/>
      <c r="C832" s="2"/>
      <c r="D832" s="2"/>
      <c r="E832" s="2"/>
      <c r="H832" s="3"/>
    </row>
    <row r="833" customFormat="false" ht="15.75" hidden="false" customHeight="false" outlineLevel="0" collapsed="false">
      <c r="B833" s="2"/>
      <c r="C833" s="2"/>
      <c r="D833" s="2"/>
      <c r="E833" s="2"/>
      <c r="H833" s="3"/>
    </row>
    <row r="834" customFormat="false" ht="15.75" hidden="false" customHeight="false" outlineLevel="0" collapsed="false">
      <c r="B834" s="2"/>
      <c r="C834" s="2"/>
      <c r="D834" s="2"/>
      <c r="E834" s="2"/>
      <c r="H834" s="3"/>
    </row>
    <row r="835" customFormat="false" ht="15.75" hidden="false" customHeight="false" outlineLevel="0" collapsed="false">
      <c r="B835" s="2"/>
      <c r="C835" s="2"/>
      <c r="D835" s="2"/>
      <c r="E835" s="2"/>
      <c r="H835" s="3"/>
    </row>
    <row r="836" customFormat="false" ht="15.75" hidden="false" customHeight="false" outlineLevel="0" collapsed="false">
      <c r="B836" s="2"/>
      <c r="C836" s="2"/>
      <c r="D836" s="2"/>
      <c r="E836" s="2"/>
      <c r="H836" s="3"/>
    </row>
    <row r="837" customFormat="false" ht="15.75" hidden="false" customHeight="false" outlineLevel="0" collapsed="false">
      <c r="B837" s="2"/>
      <c r="C837" s="2"/>
      <c r="D837" s="2"/>
      <c r="E837" s="2"/>
      <c r="H837" s="3"/>
    </row>
    <row r="838" customFormat="false" ht="15.75" hidden="false" customHeight="false" outlineLevel="0" collapsed="false">
      <c r="B838" s="2"/>
      <c r="C838" s="2"/>
      <c r="D838" s="2"/>
      <c r="E838" s="2"/>
      <c r="H838" s="3"/>
    </row>
    <row r="839" customFormat="false" ht="15.75" hidden="false" customHeight="false" outlineLevel="0" collapsed="false">
      <c r="B839" s="2"/>
      <c r="C839" s="2"/>
      <c r="D839" s="2"/>
      <c r="E839" s="2"/>
      <c r="H839" s="3"/>
    </row>
    <row r="840" customFormat="false" ht="15.75" hidden="false" customHeight="false" outlineLevel="0" collapsed="false">
      <c r="B840" s="2"/>
      <c r="C840" s="2"/>
      <c r="D840" s="2"/>
      <c r="E840" s="2"/>
      <c r="H840" s="3"/>
    </row>
    <row r="841" customFormat="false" ht="15.75" hidden="false" customHeight="false" outlineLevel="0" collapsed="false">
      <c r="B841" s="2"/>
      <c r="C841" s="2"/>
      <c r="D841" s="2"/>
      <c r="E841" s="2"/>
      <c r="H841" s="3"/>
    </row>
    <row r="842" customFormat="false" ht="15.75" hidden="false" customHeight="false" outlineLevel="0" collapsed="false">
      <c r="B842" s="2"/>
      <c r="C842" s="2"/>
      <c r="D842" s="2"/>
      <c r="E842" s="2"/>
      <c r="H842" s="3"/>
    </row>
    <row r="843" customFormat="false" ht="15.75" hidden="false" customHeight="false" outlineLevel="0" collapsed="false">
      <c r="B843" s="2"/>
      <c r="C843" s="2"/>
      <c r="D843" s="2"/>
      <c r="E843" s="2"/>
      <c r="H843" s="3"/>
    </row>
    <row r="844" customFormat="false" ht="15.75" hidden="false" customHeight="false" outlineLevel="0" collapsed="false">
      <c r="B844" s="2"/>
      <c r="C844" s="2"/>
      <c r="D844" s="2"/>
      <c r="E844" s="2"/>
      <c r="H844" s="3"/>
    </row>
    <row r="845" customFormat="false" ht="15.75" hidden="false" customHeight="false" outlineLevel="0" collapsed="false">
      <c r="B845" s="2"/>
      <c r="C845" s="2"/>
      <c r="D845" s="2"/>
      <c r="E845" s="2"/>
      <c r="H845" s="3"/>
    </row>
    <row r="846" customFormat="false" ht="15.75" hidden="false" customHeight="false" outlineLevel="0" collapsed="false">
      <c r="B846" s="2"/>
      <c r="C846" s="2"/>
      <c r="D846" s="2"/>
      <c r="E846" s="2"/>
      <c r="H846" s="3"/>
    </row>
    <row r="847" customFormat="false" ht="15.75" hidden="false" customHeight="false" outlineLevel="0" collapsed="false">
      <c r="B847" s="2"/>
      <c r="C847" s="2"/>
      <c r="D847" s="2"/>
      <c r="E847" s="2"/>
      <c r="H847" s="3"/>
    </row>
    <row r="848" customFormat="false" ht="15.75" hidden="false" customHeight="false" outlineLevel="0" collapsed="false">
      <c r="B848" s="2"/>
      <c r="C848" s="2"/>
      <c r="D848" s="2"/>
      <c r="E848" s="2"/>
      <c r="H848" s="3"/>
    </row>
    <row r="849" customFormat="false" ht="15.75" hidden="false" customHeight="false" outlineLevel="0" collapsed="false">
      <c r="B849" s="2"/>
      <c r="C849" s="2"/>
      <c r="D849" s="2"/>
      <c r="E849" s="2"/>
      <c r="H849" s="3"/>
    </row>
    <row r="850" customFormat="false" ht="15.75" hidden="false" customHeight="false" outlineLevel="0" collapsed="false">
      <c r="B850" s="2"/>
      <c r="C850" s="2"/>
      <c r="D850" s="2"/>
      <c r="E850" s="2"/>
      <c r="H850" s="3"/>
    </row>
    <row r="851" customFormat="false" ht="15.75" hidden="false" customHeight="false" outlineLevel="0" collapsed="false">
      <c r="B851" s="2"/>
      <c r="C851" s="2"/>
      <c r="D851" s="2"/>
      <c r="E851" s="2"/>
      <c r="H851" s="3"/>
    </row>
    <row r="852" customFormat="false" ht="15.75" hidden="false" customHeight="false" outlineLevel="0" collapsed="false">
      <c r="B852" s="2"/>
      <c r="C852" s="2"/>
      <c r="D852" s="2"/>
      <c r="E852" s="2"/>
      <c r="H852" s="3"/>
    </row>
    <row r="853" customFormat="false" ht="15.75" hidden="false" customHeight="false" outlineLevel="0" collapsed="false">
      <c r="B853" s="2"/>
      <c r="C853" s="2"/>
      <c r="D853" s="2"/>
      <c r="E853" s="2"/>
      <c r="H853" s="3"/>
    </row>
    <row r="854" customFormat="false" ht="15.75" hidden="false" customHeight="false" outlineLevel="0" collapsed="false">
      <c r="B854" s="2"/>
      <c r="C854" s="2"/>
      <c r="D854" s="2"/>
      <c r="E854" s="2"/>
      <c r="H854" s="3"/>
    </row>
    <row r="855" customFormat="false" ht="15.75" hidden="false" customHeight="false" outlineLevel="0" collapsed="false">
      <c r="B855" s="2"/>
      <c r="C855" s="2"/>
      <c r="D855" s="2"/>
      <c r="E855" s="2"/>
      <c r="H855" s="3"/>
    </row>
    <row r="856" customFormat="false" ht="15.75" hidden="false" customHeight="false" outlineLevel="0" collapsed="false">
      <c r="B856" s="2"/>
      <c r="C856" s="2"/>
      <c r="D856" s="2"/>
      <c r="E856" s="2"/>
      <c r="H856" s="3"/>
    </row>
    <row r="857" customFormat="false" ht="15.75" hidden="false" customHeight="false" outlineLevel="0" collapsed="false">
      <c r="B857" s="2"/>
      <c r="C857" s="2"/>
      <c r="D857" s="2"/>
      <c r="E857" s="2"/>
      <c r="H857" s="3"/>
    </row>
    <row r="858" customFormat="false" ht="15.75" hidden="false" customHeight="false" outlineLevel="0" collapsed="false">
      <c r="B858" s="2"/>
      <c r="C858" s="2"/>
      <c r="D858" s="2"/>
      <c r="E858" s="2"/>
      <c r="H858" s="3"/>
    </row>
    <row r="859" customFormat="false" ht="15.75" hidden="false" customHeight="false" outlineLevel="0" collapsed="false">
      <c r="B859" s="2"/>
      <c r="C859" s="2"/>
      <c r="D859" s="2"/>
      <c r="E859" s="2"/>
      <c r="H859" s="3"/>
    </row>
    <row r="860" customFormat="false" ht="15.75" hidden="false" customHeight="false" outlineLevel="0" collapsed="false">
      <c r="B860" s="2"/>
      <c r="C860" s="2"/>
      <c r="D860" s="2"/>
      <c r="E860" s="2"/>
      <c r="H860" s="3"/>
    </row>
    <row r="861" customFormat="false" ht="15.75" hidden="false" customHeight="false" outlineLevel="0" collapsed="false">
      <c r="B861" s="2"/>
      <c r="C861" s="2"/>
      <c r="D861" s="2"/>
      <c r="E861" s="2"/>
      <c r="H861" s="3"/>
    </row>
    <row r="862" customFormat="false" ht="15.75" hidden="false" customHeight="false" outlineLevel="0" collapsed="false">
      <c r="B862" s="2"/>
      <c r="C862" s="2"/>
      <c r="D862" s="2"/>
      <c r="E862" s="2"/>
      <c r="H862" s="3"/>
    </row>
    <row r="863" customFormat="false" ht="15.75" hidden="false" customHeight="false" outlineLevel="0" collapsed="false">
      <c r="B863" s="2"/>
      <c r="C863" s="2"/>
      <c r="D863" s="2"/>
      <c r="E863" s="2"/>
      <c r="H863" s="3"/>
    </row>
    <row r="864" customFormat="false" ht="15.75" hidden="false" customHeight="false" outlineLevel="0" collapsed="false">
      <c r="B864" s="2"/>
      <c r="C864" s="2"/>
      <c r="D864" s="2"/>
      <c r="E864" s="2"/>
      <c r="H864" s="3"/>
    </row>
    <row r="865" customFormat="false" ht="15.75" hidden="false" customHeight="false" outlineLevel="0" collapsed="false">
      <c r="B865" s="2"/>
      <c r="C865" s="2"/>
      <c r="D865" s="2"/>
      <c r="E865" s="2"/>
      <c r="H865" s="3"/>
    </row>
    <row r="866" customFormat="false" ht="15.75" hidden="false" customHeight="false" outlineLevel="0" collapsed="false">
      <c r="B866" s="2"/>
      <c r="C866" s="2"/>
      <c r="D866" s="2"/>
      <c r="E866" s="2"/>
      <c r="H866" s="3"/>
    </row>
    <row r="867" customFormat="false" ht="15.75" hidden="false" customHeight="false" outlineLevel="0" collapsed="false">
      <c r="B867" s="2"/>
      <c r="C867" s="2"/>
      <c r="D867" s="2"/>
      <c r="E867" s="2"/>
      <c r="H867" s="3"/>
    </row>
    <row r="868" customFormat="false" ht="15.75" hidden="false" customHeight="false" outlineLevel="0" collapsed="false">
      <c r="B868" s="2"/>
      <c r="C868" s="2"/>
      <c r="D868" s="2"/>
      <c r="E868" s="2"/>
      <c r="H868" s="3"/>
    </row>
    <row r="869" customFormat="false" ht="15.75" hidden="false" customHeight="false" outlineLevel="0" collapsed="false">
      <c r="B869" s="2"/>
      <c r="C869" s="2"/>
      <c r="D869" s="2"/>
      <c r="E869" s="2"/>
      <c r="H869" s="3"/>
    </row>
    <row r="870" customFormat="false" ht="15.75" hidden="false" customHeight="false" outlineLevel="0" collapsed="false">
      <c r="B870" s="2"/>
      <c r="C870" s="2"/>
      <c r="D870" s="2"/>
      <c r="E870" s="2"/>
      <c r="H870" s="3"/>
    </row>
    <row r="871" customFormat="false" ht="15.75" hidden="false" customHeight="false" outlineLevel="0" collapsed="false">
      <c r="B871" s="2"/>
      <c r="C871" s="2"/>
      <c r="D871" s="2"/>
      <c r="E871" s="2"/>
      <c r="H871" s="3"/>
    </row>
    <row r="872" customFormat="false" ht="15.75" hidden="false" customHeight="false" outlineLevel="0" collapsed="false">
      <c r="B872" s="2"/>
      <c r="C872" s="2"/>
      <c r="D872" s="2"/>
      <c r="E872" s="2"/>
      <c r="H872" s="3"/>
    </row>
    <row r="873" customFormat="false" ht="15.75" hidden="false" customHeight="false" outlineLevel="0" collapsed="false">
      <c r="B873" s="2"/>
      <c r="C873" s="2"/>
      <c r="D873" s="2"/>
      <c r="E873" s="2"/>
      <c r="H873" s="3"/>
    </row>
    <row r="874" customFormat="false" ht="15.75" hidden="false" customHeight="false" outlineLevel="0" collapsed="false">
      <c r="B874" s="2"/>
      <c r="C874" s="2"/>
      <c r="D874" s="2"/>
      <c r="E874" s="2"/>
      <c r="H874" s="3"/>
    </row>
    <row r="875" customFormat="false" ht="15.75" hidden="false" customHeight="false" outlineLevel="0" collapsed="false">
      <c r="B875" s="2"/>
      <c r="C875" s="2"/>
      <c r="D875" s="2"/>
      <c r="E875" s="2"/>
      <c r="H875" s="3"/>
    </row>
    <row r="876" customFormat="false" ht="15.75" hidden="false" customHeight="false" outlineLevel="0" collapsed="false">
      <c r="B876" s="2"/>
      <c r="C876" s="2"/>
      <c r="D876" s="2"/>
      <c r="E876" s="2"/>
      <c r="H876" s="3"/>
    </row>
    <row r="877" customFormat="false" ht="15.75" hidden="false" customHeight="false" outlineLevel="0" collapsed="false">
      <c r="B877" s="2"/>
      <c r="C877" s="2"/>
      <c r="D877" s="2"/>
      <c r="E877" s="2"/>
      <c r="H877" s="3"/>
    </row>
    <row r="878" customFormat="false" ht="15.75" hidden="false" customHeight="false" outlineLevel="0" collapsed="false">
      <c r="B878" s="2"/>
      <c r="C878" s="2"/>
      <c r="D878" s="2"/>
      <c r="E878" s="2"/>
      <c r="H878" s="3"/>
    </row>
    <row r="879" customFormat="false" ht="15.75" hidden="false" customHeight="false" outlineLevel="0" collapsed="false">
      <c r="B879" s="2"/>
      <c r="C879" s="2"/>
      <c r="D879" s="2"/>
      <c r="E879" s="2"/>
      <c r="H879" s="3"/>
    </row>
    <row r="880" customFormat="false" ht="15.75" hidden="false" customHeight="false" outlineLevel="0" collapsed="false">
      <c r="B880" s="2"/>
      <c r="C880" s="2"/>
      <c r="D880" s="2"/>
      <c r="E880" s="2"/>
      <c r="H880" s="3"/>
    </row>
    <row r="881" customFormat="false" ht="15.75" hidden="false" customHeight="false" outlineLevel="0" collapsed="false">
      <c r="B881" s="2"/>
      <c r="C881" s="2"/>
      <c r="D881" s="2"/>
      <c r="E881" s="2"/>
      <c r="H881" s="3"/>
    </row>
    <row r="882" customFormat="false" ht="15.75" hidden="false" customHeight="false" outlineLevel="0" collapsed="false">
      <c r="B882" s="2"/>
      <c r="C882" s="2"/>
      <c r="D882" s="2"/>
      <c r="E882" s="2"/>
      <c r="H882" s="3"/>
    </row>
    <row r="883" customFormat="false" ht="15.75" hidden="false" customHeight="false" outlineLevel="0" collapsed="false">
      <c r="B883" s="2"/>
      <c r="C883" s="2"/>
      <c r="D883" s="2"/>
      <c r="E883" s="2"/>
      <c r="H883" s="3"/>
    </row>
    <row r="884" customFormat="false" ht="15.75" hidden="false" customHeight="false" outlineLevel="0" collapsed="false">
      <c r="B884" s="2"/>
      <c r="C884" s="2"/>
      <c r="D884" s="2"/>
      <c r="E884" s="2"/>
      <c r="H884" s="3"/>
    </row>
    <row r="885" customFormat="false" ht="15.75" hidden="false" customHeight="false" outlineLevel="0" collapsed="false">
      <c r="B885" s="2"/>
      <c r="C885" s="2"/>
      <c r="D885" s="2"/>
      <c r="E885" s="2"/>
      <c r="H885" s="3"/>
    </row>
    <row r="886" customFormat="false" ht="15.75" hidden="false" customHeight="false" outlineLevel="0" collapsed="false">
      <c r="B886" s="2"/>
      <c r="C886" s="2"/>
      <c r="D886" s="2"/>
      <c r="E886" s="2"/>
      <c r="H886" s="3"/>
    </row>
    <row r="887" customFormat="false" ht="15.75" hidden="false" customHeight="false" outlineLevel="0" collapsed="false">
      <c r="B887" s="2"/>
      <c r="C887" s="2"/>
      <c r="D887" s="2"/>
      <c r="E887" s="2"/>
      <c r="H887" s="3"/>
    </row>
    <row r="888" customFormat="false" ht="15.75" hidden="false" customHeight="false" outlineLevel="0" collapsed="false">
      <c r="B888" s="2"/>
      <c r="C888" s="2"/>
      <c r="D888" s="2"/>
      <c r="E888" s="2"/>
      <c r="H888" s="3"/>
    </row>
    <row r="889" customFormat="false" ht="15.75" hidden="false" customHeight="false" outlineLevel="0" collapsed="false">
      <c r="B889" s="2"/>
      <c r="C889" s="2"/>
      <c r="D889" s="2"/>
      <c r="E889" s="2"/>
      <c r="H889" s="3"/>
    </row>
    <row r="890" customFormat="false" ht="15.75" hidden="false" customHeight="false" outlineLevel="0" collapsed="false">
      <c r="B890" s="2"/>
      <c r="C890" s="2"/>
      <c r="D890" s="2"/>
      <c r="E890" s="2"/>
      <c r="H890" s="3"/>
    </row>
    <row r="891" customFormat="false" ht="15.75" hidden="false" customHeight="false" outlineLevel="0" collapsed="false">
      <c r="B891" s="2"/>
      <c r="C891" s="2"/>
      <c r="D891" s="2"/>
      <c r="E891" s="2"/>
      <c r="H891" s="3"/>
    </row>
    <row r="892" customFormat="false" ht="15.75" hidden="false" customHeight="false" outlineLevel="0" collapsed="false">
      <c r="B892" s="2"/>
      <c r="C892" s="2"/>
      <c r="D892" s="2"/>
      <c r="E892" s="2"/>
      <c r="H892" s="3"/>
    </row>
    <row r="893" customFormat="false" ht="15.75" hidden="false" customHeight="false" outlineLevel="0" collapsed="false">
      <c r="B893" s="2"/>
      <c r="C893" s="2"/>
      <c r="D893" s="2"/>
      <c r="E893" s="2"/>
      <c r="H893" s="3"/>
    </row>
    <row r="894" customFormat="false" ht="15.75" hidden="false" customHeight="false" outlineLevel="0" collapsed="false">
      <c r="B894" s="2"/>
      <c r="C894" s="2"/>
      <c r="D894" s="2"/>
      <c r="E894" s="2"/>
      <c r="H894" s="3"/>
    </row>
    <row r="895" customFormat="false" ht="15.75" hidden="false" customHeight="false" outlineLevel="0" collapsed="false">
      <c r="B895" s="2"/>
      <c r="C895" s="2"/>
      <c r="D895" s="2"/>
      <c r="E895" s="2"/>
      <c r="H895" s="3"/>
    </row>
    <row r="896" customFormat="false" ht="15.75" hidden="false" customHeight="false" outlineLevel="0" collapsed="false">
      <c r="B896" s="2"/>
      <c r="C896" s="2"/>
      <c r="D896" s="2"/>
      <c r="E896" s="2"/>
      <c r="H896" s="3"/>
    </row>
    <row r="897" customFormat="false" ht="15.75" hidden="false" customHeight="false" outlineLevel="0" collapsed="false">
      <c r="B897" s="2"/>
      <c r="C897" s="2"/>
      <c r="D897" s="2"/>
      <c r="E897" s="2"/>
      <c r="H897" s="3"/>
    </row>
    <row r="898" customFormat="false" ht="15.75" hidden="false" customHeight="false" outlineLevel="0" collapsed="false">
      <c r="B898" s="2"/>
      <c r="C898" s="2"/>
      <c r="D898" s="2"/>
      <c r="E898" s="2"/>
      <c r="H898" s="3"/>
    </row>
    <row r="899" customFormat="false" ht="15.75" hidden="false" customHeight="false" outlineLevel="0" collapsed="false">
      <c r="B899" s="2"/>
      <c r="C899" s="2"/>
      <c r="D899" s="2"/>
      <c r="E899" s="2"/>
      <c r="H899" s="3"/>
    </row>
    <row r="900" customFormat="false" ht="15.75" hidden="false" customHeight="false" outlineLevel="0" collapsed="false">
      <c r="B900" s="2"/>
      <c r="C900" s="2"/>
      <c r="D900" s="2"/>
      <c r="E900" s="2"/>
      <c r="H900" s="3"/>
    </row>
    <row r="901" customFormat="false" ht="15.75" hidden="false" customHeight="false" outlineLevel="0" collapsed="false">
      <c r="B901" s="2"/>
      <c r="C901" s="2"/>
      <c r="D901" s="2"/>
      <c r="E901" s="2"/>
      <c r="H901" s="3"/>
    </row>
    <row r="902" customFormat="false" ht="15.75" hidden="false" customHeight="false" outlineLevel="0" collapsed="false">
      <c r="B902" s="2"/>
      <c r="C902" s="2"/>
      <c r="D902" s="2"/>
      <c r="E902" s="2"/>
      <c r="H902" s="3"/>
    </row>
    <row r="903" customFormat="false" ht="15.75" hidden="false" customHeight="false" outlineLevel="0" collapsed="false">
      <c r="B903" s="2"/>
      <c r="C903" s="2"/>
      <c r="D903" s="2"/>
      <c r="E903" s="2"/>
      <c r="H903" s="3"/>
    </row>
    <row r="904" customFormat="false" ht="15.75" hidden="false" customHeight="false" outlineLevel="0" collapsed="false">
      <c r="B904" s="2"/>
      <c r="C904" s="2"/>
      <c r="D904" s="2"/>
      <c r="E904" s="2"/>
      <c r="H904" s="3"/>
    </row>
    <row r="905" customFormat="false" ht="15.75" hidden="false" customHeight="false" outlineLevel="0" collapsed="false">
      <c r="B905" s="2"/>
      <c r="C905" s="2"/>
      <c r="D905" s="2"/>
      <c r="E905" s="2"/>
      <c r="H905" s="3"/>
    </row>
    <row r="906" customFormat="false" ht="15.75" hidden="false" customHeight="false" outlineLevel="0" collapsed="false">
      <c r="B906" s="2"/>
      <c r="C906" s="2"/>
      <c r="D906" s="2"/>
      <c r="E906" s="2"/>
      <c r="H906" s="3"/>
    </row>
    <row r="907" customFormat="false" ht="15.75" hidden="false" customHeight="false" outlineLevel="0" collapsed="false">
      <c r="B907" s="2"/>
      <c r="C907" s="2"/>
      <c r="D907" s="2"/>
      <c r="E907" s="2"/>
      <c r="H907" s="3"/>
    </row>
    <row r="908" customFormat="false" ht="15.75" hidden="false" customHeight="false" outlineLevel="0" collapsed="false">
      <c r="B908" s="2"/>
      <c r="C908" s="2"/>
      <c r="D908" s="2"/>
      <c r="E908" s="2"/>
      <c r="H908" s="3"/>
    </row>
    <row r="909" customFormat="false" ht="15.75" hidden="false" customHeight="false" outlineLevel="0" collapsed="false">
      <c r="B909" s="2"/>
      <c r="C909" s="2"/>
      <c r="D909" s="2"/>
      <c r="E909" s="2"/>
      <c r="H909" s="3"/>
    </row>
    <row r="910" customFormat="false" ht="15.75" hidden="false" customHeight="false" outlineLevel="0" collapsed="false">
      <c r="B910" s="2"/>
      <c r="C910" s="2"/>
      <c r="D910" s="2"/>
      <c r="E910" s="2"/>
      <c r="H910" s="3"/>
    </row>
    <row r="911" customFormat="false" ht="15.75" hidden="false" customHeight="false" outlineLevel="0" collapsed="false">
      <c r="B911" s="2"/>
      <c r="C911" s="2"/>
      <c r="D911" s="2"/>
      <c r="E911" s="2"/>
      <c r="H911" s="3"/>
    </row>
    <row r="912" customFormat="false" ht="15.75" hidden="false" customHeight="false" outlineLevel="0" collapsed="false">
      <c r="B912" s="2"/>
      <c r="C912" s="2"/>
      <c r="D912" s="2"/>
      <c r="E912" s="2"/>
      <c r="H912" s="3"/>
    </row>
    <row r="913" customFormat="false" ht="15.75" hidden="false" customHeight="false" outlineLevel="0" collapsed="false">
      <c r="B913" s="2"/>
      <c r="C913" s="2"/>
      <c r="D913" s="2"/>
      <c r="E913" s="2"/>
      <c r="H913" s="3"/>
    </row>
    <row r="914" customFormat="false" ht="15.75" hidden="false" customHeight="false" outlineLevel="0" collapsed="false">
      <c r="B914" s="2"/>
      <c r="C914" s="2"/>
      <c r="D914" s="2"/>
      <c r="E914" s="2"/>
      <c r="H914" s="3"/>
    </row>
    <row r="915" customFormat="false" ht="15.75" hidden="false" customHeight="false" outlineLevel="0" collapsed="false">
      <c r="B915" s="2"/>
      <c r="C915" s="2"/>
      <c r="D915" s="2"/>
      <c r="E915" s="2"/>
      <c r="H915" s="3"/>
    </row>
    <row r="916" customFormat="false" ht="15.75" hidden="false" customHeight="false" outlineLevel="0" collapsed="false">
      <c r="B916" s="2"/>
      <c r="C916" s="2"/>
      <c r="D916" s="2"/>
      <c r="E916" s="2"/>
      <c r="H916" s="3"/>
    </row>
    <row r="917" customFormat="false" ht="15.75" hidden="false" customHeight="false" outlineLevel="0" collapsed="false">
      <c r="B917" s="2"/>
      <c r="C917" s="2"/>
      <c r="D917" s="2"/>
      <c r="E917" s="2"/>
      <c r="H917" s="3"/>
    </row>
    <row r="918" customFormat="false" ht="15.75" hidden="false" customHeight="false" outlineLevel="0" collapsed="false">
      <c r="B918" s="2"/>
      <c r="C918" s="2"/>
      <c r="D918" s="2"/>
      <c r="E918" s="2"/>
      <c r="H918" s="3"/>
    </row>
    <row r="919" customFormat="false" ht="15.75" hidden="false" customHeight="false" outlineLevel="0" collapsed="false">
      <c r="B919" s="2"/>
      <c r="C919" s="2"/>
      <c r="D919" s="2"/>
      <c r="E919" s="2"/>
      <c r="H919" s="3"/>
    </row>
    <row r="920" customFormat="false" ht="15.75" hidden="false" customHeight="false" outlineLevel="0" collapsed="false">
      <c r="B920" s="2"/>
      <c r="C920" s="2"/>
      <c r="D920" s="2"/>
      <c r="E920" s="2"/>
      <c r="H920" s="3"/>
    </row>
    <row r="921" customFormat="false" ht="15.75" hidden="false" customHeight="false" outlineLevel="0" collapsed="false">
      <c r="B921" s="2"/>
      <c r="C921" s="2"/>
      <c r="D921" s="2"/>
      <c r="E921" s="2"/>
      <c r="H921" s="3"/>
    </row>
    <row r="922" customFormat="false" ht="15.75" hidden="false" customHeight="false" outlineLevel="0" collapsed="false">
      <c r="B922" s="2"/>
      <c r="C922" s="2"/>
      <c r="D922" s="2"/>
      <c r="E922" s="2"/>
      <c r="H922" s="3"/>
    </row>
    <row r="923" customFormat="false" ht="15.75" hidden="false" customHeight="false" outlineLevel="0" collapsed="false">
      <c r="B923" s="2"/>
      <c r="C923" s="2"/>
      <c r="D923" s="2"/>
      <c r="E923" s="2"/>
      <c r="H923" s="3"/>
    </row>
    <row r="924" customFormat="false" ht="15.75" hidden="false" customHeight="false" outlineLevel="0" collapsed="false">
      <c r="B924" s="2"/>
      <c r="C924" s="2"/>
      <c r="D924" s="2"/>
      <c r="E924" s="2"/>
      <c r="H924" s="3"/>
    </row>
    <row r="925" customFormat="false" ht="15.75" hidden="false" customHeight="false" outlineLevel="0" collapsed="false">
      <c r="B925" s="2"/>
      <c r="C925" s="2"/>
      <c r="D925" s="2"/>
      <c r="E925" s="2"/>
      <c r="H925" s="3"/>
    </row>
    <row r="926" customFormat="false" ht="15.75" hidden="false" customHeight="false" outlineLevel="0" collapsed="false">
      <c r="B926" s="2"/>
      <c r="C926" s="2"/>
      <c r="D926" s="2"/>
      <c r="E926" s="2"/>
      <c r="H926" s="3"/>
    </row>
    <row r="927" customFormat="false" ht="15.75" hidden="false" customHeight="false" outlineLevel="0" collapsed="false">
      <c r="B927" s="2"/>
      <c r="C927" s="2"/>
      <c r="D927" s="2"/>
      <c r="E927" s="2"/>
      <c r="H927" s="3"/>
    </row>
    <row r="928" customFormat="false" ht="15.75" hidden="false" customHeight="false" outlineLevel="0" collapsed="false">
      <c r="B928" s="2"/>
      <c r="C928" s="2"/>
      <c r="D928" s="2"/>
      <c r="E928" s="2"/>
      <c r="H928" s="3"/>
    </row>
    <row r="929" customFormat="false" ht="15.75" hidden="false" customHeight="false" outlineLevel="0" collapsed="false">
      <c r="B929" s="2"/>
      <c r="C929" s="2"/>
      <c r="D929" s="2"/>
      <c r="E929" s="2"/>
      <c r="H929" s="3"/>
    </row>
    <row r="930" customFormat="false" ht="15.75" hidden="false" customHeight="false" outlineLevel="0" collapsed="false">
      <c r="B930" s="2"/>
      <c r="C930" s="2"/>
      <c r="D930" s="2"/>
      <c r="E930" s="2"/>
      <c r="H930" s="3"/>
    </row>
    <row r="931" customFormat="false" ht="15.75" hidden="false" customHeight="false" outlineLevel="0" collapsed="false">
      <c r="B931" s="2"/>
      <c r="C931" s="2"/>
      <c r="D931" s="2"/>
      <c r="E931" s="2"/>
      <c r="H931" s="3"/>
    </row>
    <row r="932" customFormat="false" ht="15.75" hidden="false" customHeight="false" outlineLevel="0" collapsed="false">
      <c r="B932" s="2"/>
      <c r="C932" s="2"/>
      <c r="D932" s="2"/>
      <c r="E932" s="2"/>
      <c r="H932" s="3"/>
    </row>
    <row r="933" customFormat="false" ht="15.75" hidden="false" customHeight="false" outlineLevel="0" collapsed="false">
      <c r="B933" s="2"/>
      <c r="C933" s="2"/>
      <c r="D933" s="2"/>
      <c r="E933" s="2"/>
      <c r="H933" s="3"/>
    </row>
    <row r="934" customFormat="false" ht="15.75" hidden="false" customHeight="false" outlineLevel="0" collapsed="false">
      <c r="B934" s="2"/>
      <c r="C934" s="2"/>
      <c r="D934" s="2"/>
      <c r="E934" s="2"/>
      <c r="H934" s="3"/>
    </row>
    <row r="935" customFormat="false" ht="15.75" hidden="false" customHeight="false" outlineLevel="0" collapsed="false">
      <c r="B935" s="2"/>
      <c r="C935" s="2"/>
      <c r="D935" s="2"/>
      <c r="E935" s="2"/>
      <c r="H935" s="3"/>
    </row>
    <row r="936" customFormat="false" ht="15.75" hidden="false" customHeight="false" outlineLevel="0" collapsed="false">
      <c r="B936" s="2"/>
      <c r="C936" s="2"/>
      <c r="D936" s="2"/>
      <c r="E936" s="2"/>
      <c r="H936" s="3"/>
    </row>
    <row r="937" customFormat="false" ht="15.75" hidden="false" customHeight="false" outlineLevel="0" collapsed="false">
      <c r="B937" s="2"/>
      <c r="C937" s="2"/>
      <c r="D937" s="2"/>
      <c r="E937" s="2"/>
      <c r="H937" s="3"/>
    </row>
    <row r="938" customFormat="false" ht="15.75" hidden="false" customHeight="false" outlineLevel="0" collapsed="false">
      <c r="B938" s="2"/>
      <c r="C938" s="2"/>
      <c r="D938" s="2"/>
      <c r="E938" s="2"/>
      <c r="H938" s="3"/>
    </row>
    <row r="939" customFormat="false" ht="15.75" hidden="false" customHeight="false" outlineLevel="0" collapsed="false">
      <c r="B939" s="2"/>
      <c r="C939" s="2"/>
      <c r="D939" s="2"/>
      <c r="E939" s="2"/>
      <c r="H939" s="3"/>
    </row>
    <row r="940" customFormat="false" ht="15.75" hidden="false" customHeight="false" outlineLevel="0" collapsed="false">
      <c r="B940" s="2"/>
      <c r="C940" s="2"/>
      <c r="D940" s="2"/>
      <c r="E940" s="2"/>
      <c r="H940" s="3"/>
    </row>
    <row r="941" customFormat="false" ht="15.75" hidden="false" customHeight="false" outlineLevel="0" collapsed="false">
      <c r="B941" s="2"/>
      <c r="C941" s="2"/>
      <c r="D941" s="2"/>
      <c r="E941" s="2"/>
      <c r="H941" s="3"/>
    </row>
    <row r="942" customFormat="false" ht="15.75" hidden="false" customHeight="false" outlineLevel="0" collapsed="false">
      <c r="B942" s="2"/>
      <c r="C942" s="2"/>
      <c r="D942" s="2"/>
      <c r="E942" s="2"/>
      <c r="H942" s="3"/>
    </row>
    <row r="943" customFormat="false" ht="15.75" hidden="false" customHeight="false" outlineLevel="0" collapsed="false">
      <c r="B943" s="2"/>
      <c r="C943" s="2"/>
      <c r="D943" s="2"/>
      <c r="E943" s="2"/>
      <c r="H943" s="3"/>
    </row>
    <row r="944" customFormat="false" ht="15.75" hidden="false" customHeight="false" outlineLevel="0" collapsed="false">
      <c r="B944" s="2"/>
      <c r="C944" s="2"/>
      <c r="D944" s="2"/>
      <c r="E944" s="2"/>
      <c r="H944" s="3"/>
    </row>
    <row r="945" customFormat="false" ht="15.75" hidden="false" customHeight="false" outlineLevel="0" collapsed="false">
      <c r="B945" s="2"/>
      <c r="C945" s="2"/>
      <c r="D945" s="2"/>
      <c r="E945" s="2"/>
      <c r="H945" s="3"/>
    </row>
    <row r="946" customFormat="false" ht="15.75" hidden="false" customHeight="false" outlineLevel="0" collapsed="false">
      <c r="B946" s="2"/>
      <c r="C946" s="2"/>
      <c r="D946" s="2"/>
      <c r="E946" s="2"/>
      <c r="H946" s="3"/>
    </row>
    <row r="947" customFormat="false" ht="15.75" hidden="false" customHeight="false" outlineLevel="0" collapsed="false">
      <c r="B947" s="2"/>
      <c r="C947" s="2"/>
      <c r="D947" s="2"/>
      <c r="E947" s="2"/>
      <c r="H947" s="3"/>
    </row>
    <row r="948" customFormat="false" ht="15.75" hidden="false" customHeight="false" outlineLevel="0" collapsed="false">
      <c r="B948" s="2"/>
      <c r="C948" s="2"/>
      <c r="D948" s="2"/>
      <c r="E948" s="2"/>
      <c r="H948" s="3"/>
    </row>
    <row r="949" customFormat="false" ht="15.75" hidden="false" customHeight="false" outlineLevel="0" collapsed="false">
      <c r="B949" s="2"/>
      <c r="C949" s="2"/>
      <c r="D949" s="2"/>
      <c r="E949" s="2"/>
      <c r="H949" s="3"/>
    </row>
    <row r="950" customFormat="false" ht="15.75" hidden="false" customHeight="false" outlineLevel="0" collapsed="false">
      <c r="B950" s="2"/>
      <c r="C950" s="2"/>
      <c r="D950" s="2"/>
      <c r="E950" s="2"/>
      <c r="H950" s="3"/>
    </row>
    <row r="951" customFormat="false" ht="15.75" hidden="false" customHeight="false" outlineLevel="0" collapsed="false">
      <c r="B951" s="2"/>
      <c r="C951" s="2"/>
      <c r="D951" s="2"/>
      <c r="E951" s="2"/>
      <c r="H951" s="3"/>
    </row>
    <row r="952" customFormat="false" ht="15.75" hidden="false" customHeight="false" outlineLevel="0" collapsed="false">
      <c r="B952" s="2"/>
      <c r="C952" s="2"/>
      <c r="D952" s="2"/>
      <c r="E952" s="2"/>
      <c r="H952" s="3"/>
    </row>
    <row r="953" customFormat="false" ht="15.75" hidden="false" customHeight="false" outlineLevel="0" collapsed="false">
      <c r="B953" s="2"/>
      <c r="C953" s="2"/>
      <c r="D953" s="2"/>
      <c r="E953" s="2"/>
      <c r="H953" s="3"/>
    </row>
    <row r="954" customFormat="false" ht="15.75" hidden="false" customHeight="false" outlineLevel="0" collapsed="false">
      <c r="B954" s="2"/>
      <c r="C954" s="2"/>
      <c r="D954" s="2"/>
      <c r="E954" s="2"/>
      <c r="H954" s="3"/>
    </row>
    <row r="955" customFormat="false" ht="15.75" hidden="false" customHeight="false" outlineLevel="0" collapsed="false">
      <c r="B955" s="2"/>
      <c r="C955" s="2"/>
      <c r="D955" s="2"/>
      <c r="E955" s="2"/>
      <c r="H955" s="3"/>
    </row>
    <row r="956" customFormat="false" ht="15.75" hidden="false" customHeight="false" outlineLevel="0" collapsed="false">
      <c r="B956" s="2"/>
      <c r="C956" s="2"/>
      <c r="D956" s="2"/>
      <c r="E956" s="2"/>
      <c r="H956" s="3"/>
    </row>
    <row r="957" customFormat="false" ht="15.75" hidden="false" customHeight="false" outlineLevel="0" collapsed="false">
      <c r="B957" s="2"/>
      <c r="C957" s="2"/>
      <c r="D957" s="2"/>
      <c r="E957" s="2"/>
      <c r="H957" s="3"/>
    </row>
    <row r="958" customFormat="false" ht="15.75" hidden="false" customHeight="false" outlineLevel="0" collapsed="false">
      <c r="B958" s="2"/>
      <c r="C958" s="2"/>
      <c r="D958" s="2"/>
      <c r="E958" s="2"/>
      <c r="H958" s="3"/>
    </row>
    <row r="959" customFormat="false" ht="15.75" hidden="false" customHeight="false" outlineLevel="0" collapsed="false">
      <c r="B959" s="2"/>
      <c r="C959" s="2"/>
      <c r="D959" s="2"/>
      <c r="E959" s="2"/>
      <c r="H959" s="3"/>
    </row>
    <row r="960" customFormat="false" ht="15.75" hidden="false" customHeight="false" outlineLevel="0" collapsed="false">
      <c r="B960" s="2"/>
      <c r="C960" s="2"/>
      <c r="D960" s="2"/>
      <c r="E960" s="2"/>
      <c r="H960" s="3"/>
    </row>
    <row r="961" customFormat="false" ht="15.75" hidden="false" customHeight="false" outlineLevel="0" collapsed="false">
      <c r="B961" s="2"/>
      <c r="C961" s="2"/>
      <c r="D961" s="2"/>
      <c r="E961" s="2"/>
      <c r="H961" s="3"/>
    </row>
    <row r="962" customFormat="false" ht="15.75" hidden="false" customHeight="false" outlineLevel="0" collapsed="false">
      <c r="B962" s="2"/>
      <c r="C962" s="2"/>
      <c r="D962" s="2"/>
      <c r="E962" s="2"/>
      <c r="H962" s="3"/>
    </row>
    <row r="963" customFormat="false" ht="15.75" hidden="false" customHeight="false" outlineLevel="0" collapsed="false">
      <c r="B963" s="2"/>
      <c r="C963" s="2"/>
      <c r="D963" s="2"/>
      <c r="E963" s="2"/>
      <c r="H963" s="3"/>
    </row>
    <row r="964" customFormat="false" ht="15.75" hidden="false" customHeight="false" outlineLevel="0" collapsed="false">
      <c r="B964" s="2"/>
      <c r="C964" s="2"/>
      <c r="D964" s="2"/>
      <c r="E964" s="2"/>
      <c r="H964" s="3"/>
    </row>
    <row r="965" customFormat="false" ht="15.75" hidden="false" customHeight="false" outlineLevel="0" collapsed="false">
      <c r="B965" s="2"/>
      <c r="C965" s="2"/>
      <c r="D965" s="2"/>
      <c r="E965" s="2"/>
      <c r="H965" s="3"/>
    </row>
    <row r="966" customFormat="false" ht="15.75" hidden="false" customHeight="false" outlineLevel="0" collapsed="false">
      <c r="B966" s="2"/>
      <c r="C966" s="2"/>
      <c r="D966" s="2"/>
      <c r="E966" s="2"/>
      <c r="H966" s="3"/>
    </row>
    <row r="967" customFormat="false" ht="15.75" hidden="false" customHeight="false" outlineLevel="0" collapsed="false">
      <c r="B967" s="2"/>
      <c r="C967" s="2"/>
      <c r="D967" s="2"/>
      <c r="E967" s="2"/>
      <c r="H967" s="3"/>
    </row>
    <row r="968" customFormat="false" ht="15.75" hidden="false" customHeight="false" outlineLevel="0" collapsed="false">
      <c r="B968" s="2"/>
      <c r="C968" s="2"/>
      <c r="D968" s="2"/>
      <c r="E968" s="2"/>
      <c r="H968" s="3"/>
    </row>
    <row r="969" customFormat="false" ht="15.75" hidden="false" customHeight="false" outlineLevel="0" collapsed="false">
      <c r="B969" s="2"/>
      <c r="C969" s="2"/>
      <c r="D969" s="2"/>
      <c r="E969" s="2"/>
      <c r="H969" s="3"/>
    </row>
    <row r="970" customFormat="false" ht="15.75" hidden="false" customHeight="false" outlineLevel="0" collapsed="false">
      <c r="B970" s="2"/>
      <c r="C970" s="2"/>
      <c r="D970" s="2"/>
      <c r="E970" s="2"/>
      <c r="H970" s="3"/>
    </row>
    <row r="971" customFormat="false" ht="15.75" hidden="false" customHeight="false" outlineLevel="0" collapsed="false">
      <c r="B971" s="2"/>
      <c r="C971" s="2"/>
      <c r="D971" s="2"/>
      <c r="E971" s="2"/>
      <c r="H971" s="3"/>
    </row>
    <row r="972" customFormat="false" ht="15.75" hidden="false" customHeight="false" outlineLevel="0" collapsed="false">
      <c r="B972" s="2"/>
      <c r="C972" s="2"/>
      <c r="D972" s="2"/>
      <c r="E972" s="2"/>
      <c r="H972" s="3"/>
    </row>
    <row r="973" customFormat="false" ht="15.75" hidden="false" customHeight="false" outlineLevel="0" collapsed="false">
      <c r="B973" s="2"/>
      <c r="C973" s="2"/>
      <c r="D973" s="2"/>
      <c r="E973" s="2"/>
      <c r="H973" s="3"/>
    </row>
    <row r="974" customFormat="false" ht="15.75" hidden="false" customHeight="false" outlineLevel="0" collapsed="false">
      <c r="B974" s="2"/>
      <c r="C974" s="2"/>
      <c r="D974" s="2"/>
      <c r="E974" s="2"/>
      <c r="H974" s="3"/>
    </row>
    <row r="975" customFormat="false" ht="15.75" hidden="false" customHeight="false" outlineLevel="0" collapsed="false">
      <c r="B975" s="2"/>
      <c r="C975" s="2"/>
      <c r="D975" s="2"/>
      <c r="E975" s="2"/>
      <c r="H975" s="3"/>
    </row>
    <row r="976" customFormat="false" ht="15.75" hidden="false" customHeight="false" outlineLevel="0" collapsed="false">
      <c r="B976" s="2"/>
      <c r="C976" s="2"/>
      <c r="D976" s="2"/>
      <c r="E976" s="2"/>
      <c r="H976" s="3"/>
    </row>
    <row r="977" customFormat="false" ht="15.75" hidden="false" customHeight="false" outlineLevel="0" collapsed="false">
      <c r="B977" s="2"/>
      <c r="C977" s="2"/>
      <c r="D977" s="2"/>
      <c r="E977" s="2"/>
      <c r="H977" s="3"/>
    </row>
    <row r="978" customFormat="false" ht="15.75" hidden="false" customHeight="false" outlineLevel="0" collapsed="false">
      <c r="B978" s="2"/>
      <c r="C978" s="2"/>
      <c r="D978" s="2"/>
      <c r="E978" s="2"/>
      <c r="H978" s="3"/>
    </row>
    <row r="979" customFormat="false" ht="15.75" hidden="false" customHeight="false" outlineLevel="0" collapsed="false">
      <c r="B979" s="2"/>
      <c r="C979" s="2"/>
      <c r="D979" s="2"/>
      <c r="E979" s="2"/>
      <c r="H979" s="3"/>
    </row>
    <row r="980" customFormat="false" ht="15.75" hidden="false" customHeight="false" outlineLevel="0" collapsed="false">
      <c r="B980" s="2"/>
      <c r="C980" s="2"/>
      <c r="D980" s="2"/>
      <c r="E980" s="2"/>
      <c r="H980" s="3"/>
    </row>
    <row r="981" customFormat="false" ht="15.75" hidden="false" customHeight="false" outlineLevel="0" collapsed="false">
      <c r="B981" s="2"/>
      <c r="C981" s="2"/>
      <c r="D981" s="2"/>
      <c r="E981" s="2"/>
      <c r="H981" s="3"/>
    </row>
    <row r="982" customFormat="false" ht="15.75" hidden="false" customHeight="false" outlineLevel="0" collapsed="false">
      <c r="B982" s="2"/>
      <c r="C982" s="2"/>
      <c r="D982" s="2"/>
      <c r="E982" s="2"/>
      <c r="H982" s="3"/>
    </row>
    <row r="983" customFormat="false" ht="15.75" hidden="false" customHeight="false" outlineLevel="0" collapsed="false">
      <c r="B983" s="2"/>
      <c r="C983" s="2"/>
      <c r="D983" s="2"/>
      <c r="E983" s="2"/>
      <c r="H983" s="3"/>
    </row>
    <row r="984" customFormat="false" ht="15.75" hidden="false" customHeight="false" outlineLevel="0" collapsed="false">
      <c r="B984" s="2"/>
      <c r="C984" s="2"/>
      <c r="D984" s="2"/>
      <c r="E984" s="2"/>
      <c r="H984" s="3"/>
    </row>
    <row r="985" customFormat="false" ht="15.75" hidden="false" customHeight="false" outlineLevel="0" collapsed="false">
      <c r="B985" s="2"/>
      <c r="C985" s="2"/>
      <c r="D985" s="2"/>
      <c r="E985" s="2"/>
      <c r="H985" s="3"/>
    </row>
    <row r="986" customFormat="false" ht="15.75" hidden="false" customHeight="false" outlineLevel="0" collapsed="false">
      <c r="B986" s="2"/>
      <c r="C986" s="2"/>
      <c r="D986" s="2"/>
      <c r="E986" s="2"/>
      <c r="H986" s="3"/>
    </row>
    <row r="987" customFormat="false" ht="15.75" hidden="false" customHeight="false" outlineLevel="0" collapsed="false">
      <c r="B987" s="2"/>
      <c r="C987" s="2"/>
      <c r="D987" s="2"/>
      <c r="E987" s="2"/>
      <c r="H987" s="3"/>
    </row>
    <row r="988" customFormat="false" ht="15.75" hidden="false" customHeight="false" outlineLevel="0" collapsed="false">
      <c r="B988" s="2"/>
      <c r="C988" s="2"/>
      <c r="D988" s="2"/>
      <c r="E988" s="2"/>
      <c r="H988" s="3"/>
    </row>
    <row r="989" customFormat="false" ht="15.75" hidden="false" customHeight="false" outlineLevel="0" collapsed="false">
      <c r="B989" s="2"/>
      <c r="C989" s="2"/>
      <c r="D989" s="2"/>
      <c r="E989" s="2"/>
      <c r="H989" s="3"/>
    </row>
    <row r="990" customFormat="false" ht="15.75" hidden="false" customHeight="false" outlineLevel="0" collapsed="false">
      <c r="B990" s="2"/>
      <c r="C990" s="2"/>
      <c r="D990" s="2"/>
      <c r="E990" s="2"/>
      <c r="H990" s="3"/>
    </row>
    <row r="991" customFormat="false" ht="15.75" hidden="false" customHeight="false" outlineLevel="0" collapsed="false">
      <c r="B991" s="2"/>
      <c r="C991" s="2"/>
      <c r="D991" s="2"/>
      <c r="E991" s="2"/>
      <c r="H991" s="3"/>
    </row>
    <row r="992" customFormat="false" ht="15.75" hidden="false" customHeight="false" outlineLevel="0" collapsed="false">
      <c r="B992" s="2"/>
      <c r="C992" s="2"/>
      <c r="D992" s="2"/>
      <c r="E992" s="2"/>
      <c r="H992" s="3"/>
    </row>
    <row r="993" customFormat="false" ht="15.75" hidden="false" customHeight="false" outlineLevel="0" collapsed="false">
      <c r="B993" s="2"/>
      <c r="C993" s="2"/>
      <c r="D993" s="2"/>
      <c r="E993" s="2"/>
      <c r="H993" s="3"/>
    </row>
    <row r="994" customFormat="false" ht="15.75" hidden="false" customHeight="false" outlineLevel="0" collapsed="false">
      <c r="B994" s="2"/>
      <c r="C994" s="2"/>
      <c r="D994" s="2"/>
      <c r="E994" s="2"/>
      <c r="H994" s="3"/>
    </row>
    <row r="995" customFormat="false" ht="15.75" hidden="false" customHeight="false" outlineLevel="0" collapsed="false">
      <c r="B995" s="2"/>
      <c r="C995" s="2"/>
      <c r="D995" s="2"/>
      <c r="E995" s="2"/>
      <c r="H995" s="3"/>
    </row>
    <row r="996" customFormat="false" ht="15.75" hidden="false" customHeight="false" outlineLevel="0" collapsed="false">
      <c r="B996" s="2"/>
      <c r="C996" s="2"/>
      <c r="D996" s="2"/>
      <c r="E996" s="2"/>
      <c r="H996" s="3"/>
    </row>
    <row r="997" customFormat="false" ht="15.75" hidden="false" customHeight="false" outlineLevel="0" collapsed="false">
      <c r="B997" s="2"/>
      <c r="C997" s="2"/>
      <c r="D997" s="2"/>
      <c r="E997" s="2"/>
      <c r="H997" s="3"/>
    </row>
    <row r="998" customFormat="false" ht="15.75" hidden="false" customHeight="false" outlineLevel="0" collapsed="false">
      <c r="B998" s="2"/>
      <c r="C998" s="2"/>
      <c r="D998" s="2"/>
      <c r="E998" s="2"/>
      <c r="H998" s="3"/>
    </row>
    <row r="999" customFormat="false" ht="15.75" hidden="false" customHeight="false" outlineLevel="0" collapsed="false">
      <c r="B999" s="2"/>
      <c r="C999" s="2"/>
      <c r="D999" s="2"/>
      <c r="E999" s="2"/>
      <c r="H999" s="3"/>
    </row>
    <row r="1000" customFormat="false" ht="15.75" hidden="false" customHeight="false" outlineLevel="0" collapsed="false">
      <c r="B1000" s="2"/>
      <c r="C1000" s="2"/>
      <c r="D1000" s="2"/>
      <c r="E1000" s="2"/>
      <c r="H1000" s="3"/>
    </row>
    <row r="1001" customFormat="false" ht="15.75" hidden="false" customHeight="false" outlineLevel="0" collapsed="false">
      <c r="B1001" s="2"/>
      <c r="C1001" s="2"/>
      <c r="D1001" s="2"/>
      <c r="E1001" s="2"/>
      <c r="H1001" s="3"/>
    </row>
    <row r="1002" customFormat="false" ht="15.75" hidden="false" customHeight="false" outlineLevel="0" collapsed="false">
      <c r="B1002" s="2"/>
      <c r="C1002" s="2"/>
      <c r="D1002" s="2"/>
      <c r="E1002" s="2"/>
      <c r="H1002" s="3"/>
    </row>
    <row r="1003" customFormat="false" ht="15.75" hidden="false" customHeight="false" outlineLevel="0" collapsed="false">
      <c r="B1003" s="2"/>
      <c r="C1003" s="2"/>
      <c r="D1003" s="2"/>
      <c r="E1003" s="2"/>
      <c r="H1003" s="3"/>
    </row>
    <row r="1004" customFormat="false" ht="15.75" hidden="false" customHeight="false" outlineLevel="0" collapsed="false">
      <c r="B1004" s="2"/>
      <c r="C1004" s="2"/>
      <c r="D1004" s="2"/>
      <c r="E1004" s="2"/>
      <c r="H1004" s="3"/>
    </row>
    <row r="1005" customFormat="false" ht="15.75" hidden="false" customHeight="false" outlineLevel="0" collapsed="false">
      <c r="B1005" s="2"/>
      <c r="C1005" s="2"/>
      <c r="D1005" s="2"/>
      <c r="E1005" s="2"/>
      <c r="H1005" s="3"/>
    </row>
    <row r="1006" customFormat="false" ht="15.75" hidden="false" customHeight="false" outlineLevel="0" collapsed="false">
      <c r="B1006" s="2"/>
      <c r="C1006" s="2"/>
      <c r="D1006" s="2"/>
      <c r="E1006" s="2"/>
      <c r="H1006" s="3"/>
    </row>
    <row r="1007" customFormat="false" ht="15.75" hidden="false" customHeight="false" outlineLevel="0" collapsed="false">
      <c r="B1007" s="2"/>
      <c r="C1007" s="2"/>
      <c r="D1007" s="2"/>
      <c r="E1007" s="2"/>
      <c r="H1007" s="3"/>
    </row>
    <row r="1008" customFormat="false" ht="15.75" hidden="false" customHeight="false" outlineLevel="0" collapsed="false">
      <c r="B1008" s="2"/>
      <c r="C1008" s="2"/>
      <c r="D1008" s="2"/>
      <c r="E1008" s="2"/>
      <c r="H1008" s="3"/>
    </row>
    <row r="1009" customFormat="false" ht="15.75" hidden="false" customHeight="false" outlineLevel="0" collapsed="false">
      <c r="B1009" s="2"/>
      <c r="C1009" s="2"/>
      <c r="D1009" s="2"/>
      <c r="E1009" s="2"/>
      <c r="H1009" s="3"/>
    </row>
    <row r="1010" customFormat="false" ht="15.75" hidden="false" customHeight="false" outlineLevel="0" collapsed="false">
      <c r="B1010" s="2"/>
      <c r="C1010" s="2"/>
      <c r="D1010" s="2"/>
      <c r="E1010" s="2"/>
    </row>
    <row r="1011" customFormat="false" ht="15.75" hidden="false" customHeight="false" outlineLevel="0" collapsed="false">
      <c r="B1011" s="2"/>
      <c r="C1011" s="2"/>
      <c r="D1011" s="2"/>
      <c r="E1011" s="2"/>
    </row>
    <row r="1012" customFormat="false" ht="15.75" hidden="false" customHeight="false" outlineLevel="0" collapsed="false">
      <c r="B1012" s="2"/>
      <c r="C1012" s="2"/>
      <c r="D1012" s="2"/>
      <c r="E1012" s="2"/>
    </row>
    <row r="1013" customFormat="false" ht="15.75" hidden="false" customHeight="false" outlineLevel="0" collapsed="false">
      <c r="B1013" s="2"/>
      <c r="C1013" s="2"/>
      <c r="D1013" s="2"/>
      <c r="E1013" s="2"/>
    </row>
    <row r="1014" customFormat="false" ht="15.75" hidden="false" customHeight="false" outlineLevel="0" collapsed="false">
      <c r="B1014" s="2"/>
      <c r="C1014" s="2"/>
      <c r="D1014" s="2"/>
      <c r="E1014" s="2"/>
    </row>
    <row r="1015" customFormat="false" ht="15.75" hidden="false" customHeight="false" outlineLevel="0" collapsed="false">
      <c r="B1015" s="2"/>
      <c r="C1015" s="2"/>
      <c r="D1015" s="2"/>
      <c r="E1015" s="2"/>
    </row>
    <row r="1016" customFormat="false" ht="15.75" hidden="false" customHeight="false" outlineLevel="0" collapsed="false">
      <c r="B1016" s="2"/>
      <c r="C1016" s="2"/>
      <c r="D1016" s="2"/>
      <c r="E1016" s="2"/>
    </row>
    <row r="1017" customFormat="false" ht="15.75" hidden="false" customHeight="false" outlineLevel="0" collapsed="false">
      <c r="B1017" s="2"/>
      <c r="C1017" s="2"/>
      <c r="D1017" s="2"/>
      <c r="E1017" s="2"/>
    </row>
    <row r="1018" customFormat="false" ht="15.75" hidden="false" customHeight="false" outlineLevel="0" collapsed="false">
      <c r="B1018" s="2"/>
      <c r="C1018" s="2"/>
      <c r="D1018" s="2"/>
      <c r="E1018" s="2"/>
    </row>
    <row r="1019" customFormat="false" ht="15.75" hidden="false" customHeight="false" outlineLevel="0" collapsed="false">
      <c r="B1019" s="2"/>
      <c r="C1019" s="2"/>
      <c r="D1019" s="2"/>
      <c r="E1019" s="2"/>
    </row>
    <row r="1020" customFormat="false" ht="15.75" hidden="false" customHeight="false" outlineLevel="0" collapsed="false">
      <c r="B1020" s="2"/>
      <c r="C1020" s="2"/>
      <c r="D1020" s="2"/>
      <c r="E1020" s="2"/>
    </row>
    <row r="1021" customFormat="false" ht="15.75" hidden="false" customHeight="false" outlineLevel="0" collapsed="false">
      <c r="B1021" s="2"/>
      <c r="C1021" s="2"/>
      <c r="D1021" s="2"/>
      <c r="E1021" s="2"/>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N22" r:id="rId1" display="Stover, Bernd. 2013. Berlin: A Short History. English. Munich: Verlag C.H. Beck, 2013. p. 31 (N). The Berlin Customs Wall (or Akzisemauer) is 15.9 km long which yields a (circular) area of approximately 2040 ha (https://www.the-berliner.com/berlin/customs-wall-akzisemauer-historical-city-gates/). N taken from https://www.myleszhang.org/2020/01/31/berlin/"/>
    <hyperlink ref="N23" r:id="rId2" location="/media/File:Bombardement_Bruxelles_1695_01.jpg" display="Mitchell, Brian. 1992. International Historical Statistics: Europe 1750-1993. London: Macmillan. p. 72 (N); Area of historical/walled core estimated using Google Maps and length of &quot;Second Walls&quot; = 8km -&gt; 400 ha, also historical map of Brussels c. 1700 at https://en.wikipedia.org/wiki/Fortifications_of_Brussels#/media/File:Bombardement_Bruxelles_1695_01.jpg"/>
    <hyperlink ref="N39" r:id="rId3" display="Glick, Thomas. 1979. Islamic and Christian Spain in the Early Middle Ages. Princeton: Princeton  University Press, p. 113 (N). Area is taken from a map created by UNESCO available at https://whc.unesco.org/en/list/313/documents/."/>
    <hyperlink ref="N45" r:id="rId4" display="Jansen, Marius. 1989. “Japan in the Early Nineteenth Century.” In The Cambridge History of Japan. Volume 5: The Nineteenth Century, edited by Marius Jansen, 50–115. New York: Cambridge University Press, p. 63 (N). A estimated using 1896 map at https://en.wikipedia.org/wiki/File:Tokio1896.jpg"/>
    <hyperlink ref="N78" r:id="rId5" display="Braudel, Fernand. 1981. Civilization and Capitalism, 15th-18th Century, Volume I: The Structures of Everyday Life. New York: Harper &amp; Row, p. 532. Area is of the UNESCO 'Historic Centre of Naples', documents can be found at: https://whc.unesco.org/en/list/726/."/>
    <hyperlink ref="N100" r:id="rId6" location="v=onepage&amp;q&amp;f=false" display="Hansen, Mogens Herman. 2004. “The Concept of the Consumption City Applied to the Greek Polis.” In Once Again: Studies in the Ancient Greek Polis, edited by Thomas Heine Nielsen, 9–48. Papers from the Copenhagen Polis Center 7. Stuttgart: Franz Steiner Verlag: 22. https://books.google.com/books?id=oafCBYBbMRgC&amp;pg=PA22#v=onepage&amp;q&amp;f=false"/>
    <hyperlink ref="N101" r:id="rId7" display="Braudel, Fernand. 1981. Civilization and Capitalism, 15th-18th Century, Volume I: The Structures of Everyday Life. New York: Harper &amp; Row. p. 538 (N); Mitchell, Brian. 1992. International Historical Statistics: Europe 1750-1993. London: Macmillan. p. 73 (N). Area estimated using Google Maps based on areas inhabitated in maps of c 1800 St Petersburg at  https://commons.wikimedia.org/wiki/Category:1800s_map_of_Saint_Petersburg"/>
    <hyperlink ref="N108" r:id="rId8" display="Needs further investigation: Population estimates are Roman, not Hellenistic. Wilson, Andrew. 2011. “City Sizes and Urbanization in the Roman Empire.” In Settlement, Urbanization, and Population, edited by Alan Bowman and Andrew Wilson, 161–95. New York: Oxford University Press, 2011. p. 191 (N=30k). Hanson, John W., Scott G. Ortman, Luís MA Bettencourt, and Liam C. Mazur. 2019. “Urban Form, Infrastructure and Spatial Organisation in the Roman Empire.” Antiquity 93 (369): 702–18. SI data set gives N = 50430, A= 131. Area estimated from area enclosed by walls on map https://upload.wikimedia.org/wikipedia/commons/9/96/Thessaloniki_historic_city_centre.svg"/>
    <hyperlink ref="N118" r:id="rId9" location="/media/File:Wien1858.jpg." display="Hall, Peter. 1998. Cities in Civilization. New York: Pantheon, p. 173. Area is the sum of areas for districts 1-9 (except 3) which is the area enclosed by the Linienwall (now Ringstrassue). A similar figure of 2330ha is arrived at using a 3x3 mile 1859 map available at https://en.wikipedia.org/wiki/Ringstrasse#/media/File:Wien1858.jpg."/>
  </hyperlink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9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sheetData>
    <row r="1" customFormat="false" ht="15.75" hidden="false" customHeight="false" outlineLevel="0" collapsed="false">
      <c r="A1" s="1" t="s">
        <v>468</v>
      </c>
      <c r="B1" s="1" t="s">
        <v>93</v>
      </c>
      <c r="C1" s="1" t="s">
        <v>456</v>
      </c>
      <c r="D1" s="1" t="n">
        <v>100000</v>
      </c>
      <c r="E1" s="1" t="n">
        <v>100000</v>
      </c>
      <c r="F1" s="1" t="n">
        <v>100000</v>
      </c>
      <c r="G1" s="1" t="n">
        <v>1600</v>
      </c>
      <c r="H1" s="3" t="n">
        <f aca="false">LOG10(F1)</f>
        <v>5</v>
      </c>
      <c r="I1" s="3" t="n">
        <f aca="false">LOG10(G1)</f>
        <v>3.20411998265592</v>
      </c>
      <c r="J1" s="1" t="s">
        <v>469</v>
      </c>
      <c r="AE1" s="6"/>
      <c r="AF1" s="6"/>
      <c r="AG1" s="6"/>
      <c r="AH1" s="6"/>
      <c r="AI1" s="6"/>
    </row>
    <row r="3" customFormat="false" ht="15.75" hidden="false" customHeight="false" outlineLevel="0" collapsed="false">
      <c r="A3" s="4" t="s">
        <v>470</v>
      </c>
      <c r="B3" s="6"/>
      <c r="C3" s="4" t="s">
        <v>471</v>
      </c>
      <c r="D3" s="6"/>
      <c r="E3" s="6"/>
      <c r="F3" s="6"/>
      <c r="G3" s="4" t="n">
        <v>270</v>
      </c>
      <c r="H3" s="6"/>
      <c r="I3" s="6"/>
      <c r="J3" s="4" t="s">
        <v>472</v>
      </c>
      <c r="K3" s="6"/>
      <c r="L3" s="6"/>
      <c r="M3" s="6"/>
      <c r="N3" s="6"/>
      <c r="O3" s="6"/>
      <c r="P3" s="6"/>
      <c r="Q3" s="6"/>
      <c r="R3" s="6"/>
      <c r="S3" s="6"/>
      <c r="T3" s="6"/>
      <c r="U3" s="6"/>
      <c r="V3" s="6"/>
      <c r="W3" s="6"/>
      <c r="X3" s="6"/>
      <c r="Y3" s="6"/>
      <c r="Z3" s="6"/>
      <c r="AA3" s="6"/>
      <c r="AB3" s="6"/>
      <c r="AC3" s="6"/>
      <c r="AD3" s="6"/>
      <c r="AE3" s="6"/>
      <c r="AF3" s="6"/>
      <c r="AG3" s="6"/>
      <c r="AH3" s="6"/>
      <c r="AI3" s="6"/>
    </row>
    <row r="5" customFormat="false" ht="15.75" hidden="false" customHeight="false" outlineLevel="0" collapsed="false">
      <c r="A5" s="4" t="s">
        <v>473</v>
      </c>
      <c r="B5" s="6"/>
      <c r="C5" s="6"/>
      <c r="D5" s="4" t="n">
        <v>2500</v>
      </c>
      <c r="E5" s="4" t="n">
        <v>3000</v>
      </c>
      <c r="F5" s="6"/>
      <c r="G5" s="4" t="n">
        <v>12</v>
      </c>
      <c r="H5" s="6"/>
      <c r="I5" s="6"/>
      <c r="J5" s="4" t="s">
        <v>474</v>
      </c>
      <c r="K5" s="6"/>
      <c r="L5" s="6"/>
      <c r="M5" s="6"/>
      <c r="N5" s="6"/>
      <c r="O5" s="6"/>
      <c r="P5" s="6"/>
      <c r="Q5" s="6"/>
      <c r="R5" s="6"/>
      <c r="S5" s="6"/>
      <c r="T5" s="6"/>
      <c r="U5" s="6"/>
      <c r="V5" s="6"/>
      <c r="W5" s="6"/>
      <c r="X5" s="6"/>
      <c r="Y5" s="6"/>
      <c r="Z5" s="6"/>
      <c r="AA5" s="6"/>
      <c r="AB5" s="6"/>
      <c r="AC5" s="6"/>
      <c r="AD5" s="6"/>
      <c r="AE5" s="6"/>
      <c r="AF5" s="6"/>
      <c r="AG5" s="6"/>
      <c r="AH5" s="6"/>
      <c r="AI5" s="6"/>
    </row>
    <row r="6" customFormat="false" ht="15.75" hidden="false" customHeight="false" outlineLevel="0" collapsed="false">
      <c r="J6" s="1" t="s">
        <v>468</v>
      </c>
    </row>
    <row r="7" customFormat="false" ht="15.75" hidden="false" customHeight="false" outlineLevel="0" collapsed="false">
      <c r="A7" s="4" t="s">
        <v>475</v>
      </c>
      <c r="B7" s="4" t="s">
        <v>476</v>
      </c>
      <c r="C7" s="4" t="s">
        <v>477</v>
      </c>
      <c r="D7" s="6"/>
      <c r="E7" s="6"/>
      <c r="F7" s="4" t="n">
        <v>50000</v>
      </c>
      <c r="G7" s="4" t="n">
        <v>2000</v>
      </c>
      <c r="H7" s="6" t="n">
        <f aca="false">LOG10(F7)</f>
        <v>4.69897000433602</v>
      </c>
      <c r="I7" s="6" t="n">
        <f aca="false">LOG10(G7)</f>
        <v>3.30102999566398</v>
      </c>
      <c r="J7" s="4" t="s">
        <v>478</v>
      </c>
      <c r="K7" s="6"/>
      <c r="L7" s="6"/>
      <c r="M7" s="6"/>
      <c r="N7" s="6"/>
      <c r="O7" s="6"/>
      <c r="P7" s="6"/>
      <c r="Q7" s="6"/>
      <c r="R7" s="6"/>
      <c r="S7" s="6"/>
      <c r="T7" s="6"/>
      <c r="U7" s="6"/>
      <c r="V7" s="6"/>
      <c r="W7" s="6"/>
      <c r="X7" s="6"/>
      <c r="Y7" s="6"/>
      <c r="Z7" s="6"/>
      <c r="AA7" s="6"/>
      <c r="AB7" s="6"/>
      <c r="AC7" s="6"/>
      <c r="AD7" s="6"/>
      <c r="AE7" s="6"/>
      <c r="AF7" s="6"/>
      <c r="AG7" s="6"/>
      <c r="AH7" s="6"/>
      <c r="AI7" s="6"/>
    </row>
    <row r="9" customFormat="false" ht="15.75" hidden="false" customHeight="false" outlineLevel="0" collapsed="false">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customFormat="false" ht="15.75" hidden="false" customHeight="false" outlineLevel="0" collapsed="false">
      <c r="A10" s="4" t="s">
        <v>479</v>
      </c>
      <c r="B10" s="4" t="s">
        <v>480</v>
      </c>
      <c r="C10" s="6"/>
      <c r="D10" s="6"/>
      <c r="E10" s="6"/>
      <c r="F10" s="6"/>
      <c r="G10" s="4" t="s">
        <v>481</v>
      </c>
      <c r="H10" s="6"/>
      <c r="I10" s="6"/>
      <c r="J10" s="4" t="s">
        <v>482</v>
      </c>
      <c r="K10" s="6"/>
      <c r="L10" s="6"/>
      <c r="M10" s="6"/>
      <c r="N10" s="6"/>
      <c r="O10" s="6"/>
      <c r="P10" s="6"/>
      <c r="Q10" s="6"/>
      <c r="R10" s="6"/>
      <c r="S10" s="6"/>
      <c r="T10" s="6"/>
      <c r="U10" s="6"/>
      <c r="V10" s="6"/>
      <c r="W10" s="6"/>
      <c r="X10" s="6"/>
      <c r="Y10" s="6"/>
      <c r="Z10" s="6"/>
      <c r="AA10" s="6"/>
      <c r="AB10" s="6"/>
      <c r="AC10" s="6"/>
      <c r="AD10" s="6"/>
      <c r="AE10" s="6"/>
      <c r="AF10" s="6"/>
      <c r="AG10" s="6"/>
      <c r="AH10" s="6"/>
      <c r="AI10" s="6"/>
    </row>
    <row r="11" customFormat="false" ht="15.75" hidden="false" customHeight="false" outlineLevel="0" collapsed="false">
      <c r="A11" s="4"/>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row>
    <row r="12" customFormat="false" ht="15.75" hidden="false" customHeight="false" outlineLevel="0" collapsed="false">
      <c r="A12" s="4"/>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row>
    <row r="13" customFormat="false" ht="15.75" hidden="false" customHeight="false" outlineLevel="0" collapsed="false">
      <c r="A13" s="4"/>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row>
    <row r="15" customFormat="false" ht="15.75" hidden="false" customHeight="false" outlineLevel="0" collapsed="false">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row>
    <row r="16" customFormat="false" ht="15.75" hidden="false" customHeight="false" outlineLevel="0" collapsed="false">
      <c r="A16" s="4"/>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customFormat="false" ht="15.75" hidden="false" customHeight="false" outlineLevel="0" collapsed="false">
      <c r="A17" s="1" t="s">
        <v>483</v>
      </c>
      <c r="B17" s="1" t="s">
        <v>38</v>
      </c>
      <c r="C17" s="1" t="s">
        <v>484</v>
      </c>
      <c r="F17" s="1" t="n">
        <v>25000</v>
      </c>
      <c r="G17" s="1" t="n">
        <v>165</v>
      </c>
      <c r="H17" s="3" t="n">
        <f aca="false">LOG10(F17)</f>
        <v>4.39794000867204</v>
      </c>
      <c r="I17" s="3" t="n">
        <f aca="false">LOG10(G17)</f>
        <v>2.21748394421391</v>
      </c>
      <c r="J17" s="1" t="s">
        <v>485</v>
      </c>
    </row>
    <row r="18" customFormat="false" ht="15.75" hidden="false" customHeight="false" outlineLevel="0" collapsed="false">
      <c r="A18" s="4"/>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row>
    <row r="19" customFormat="false" ht="15.75" hidden="false" customHeight="false" outlineLevel="0" collapsed="false">
      <c r="A19" s="4"/>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row>
    <row r="20" customFormat="false" ht="15.75" hidden="false" customHeight="false" outlineLevel="0" collapsed="false">
      <c r="A20" s="1" t="s">
        <v>486</v>
      </c>
      <c r="F20" s="1" t="n">
        <v>40000</v>
      </c>
      <c r="G20" s="1" t="n">
        <v>260</v>
      </c>
      <c r="H20" s="3" t="n">
        <f aca="false">LOG10(F20)</f>
        <v>4.60205999132796</v>
      </c>
      <c r="I20" s="3" t="n">
        <f aca="false">LOG10(G20)</f>
        <v>2.41497334797082</v>
      </c>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customFormat="false" ht="15.75" hidden="false" customHeight="false" outlineLevel="0" collapsed="false">
      <c r="A21" s="4"/>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customFormat="false" ht="15.75" hidden="false" customHeight="false" outlineLevel="0" collapsed="false">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row>
    <row r="23" customFormat="false" ht="15.75" hidden="false" customHeight="false" outlineLevel="0" collapsed="false">
      <c r="A23" s="4" t="s">
        <v>487</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6" customFormat="false" ht="15.75" hidden="false" customHeight="false" outlineLevel="0" collapsed="false">
      <c r="A26" s="4" t="s">
        <v>366</v>
      </c>
      <c r="B26" s="4" t="s">
        <v>488</v>
      </c>
      <c r="C26" s="6"/>
      <c r="D26" s="6"/>
      <c r="E26" s="6"/>
      <c r="F26" s="6"/>
      <c r="G26" s="4" t="n">
        <v>330</v>
      </c>
      <c r="H26" s="6"/>
      <c r="I26" s="6"/>
      <c r="J26" s="4" t="s">
        <v>489</v>
      </c>
      <c r="K26" s="6"/>
      <c r="L26" s="6"/>
      <c r="M26" s="6"/>
      <c r="N26" s="6"/>
      <c r="O26" s="6"/>
      <c r="P26" s="6"/>
      <c r="Q26" s="6"/>
      <c r="R26" s="6"/>
      <c r="S26" s="6"/>
      <c r="T26" s="6"/>
      <c r="U26" s="6"/>
      <c r="V26" s="6"/>
      <c r="W26" s="6"/>
      <c r="X26" s="6"/>
      <c r="Y26" s="6"/>
      <c r="Z26" s="6"/>
      <c r="AA26" s="6"/>
      <c r="AB26" s="6"/>
      <c r="AC26" s="6"/>
      <c r="AD26" s="6"/>
      <c r="AE26" s="6"/>
      <c r="AF26" s="6"/>
      <c r="AG26" s="6"/>
      <c r="AH26" s="6"/>
      <c r="AI26" s="6"/>
    </row>
    <row r="27" customFormat="false" ht="15.75" hidden="false" customHeight="false" outlineLevel="0" collapsed="false">
      <c r="A27" s="4"/>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customFormat="false" ht="15.75" hidden="false" customHeight="false" outlineLevel="0" collapsed="false">
      <c r="A28" s="4"/>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customFormat="false" ht="15.75" hidden="false" customHeight="false" outlineLevel="0" collapsed="false">
      <c r="A29" s="1" t="s">
        <v>438</v>
      </c>
      <c r="B29" s="1" t="s">
        <v>490</v>
      </c>
      <c r="C29" s="1" t="s">
        <v>491</v>
      </c>
      <c r="D29" s="3" t="n">
        <f aca="false">125*G29</f>
        <v>62500</v>
      </c>
      <c r="E29" s="1" t="n">
        <v>200000</v>
      </c>
      <c r="F29" s="3" t="n">
        <f aca="false">AVERAGE(D29:E29)</f>
        <v>131250</v>
      </c>
      <c r="G29" s="1" t="n">
        <v>500</v>
      </c>
      <c r="H29" s="3" t="n">
        <f aca="false">LOG10(F29)</f>
        <v>5.11809931207799</v>
      </c>
      <c r="I29" s="3" t="n">
        <f aca="false">LOG10(G29)</f>
        <v>2.69897000433602</v>
      </c>
      <c r="J29" s="1" t="s">
        <v>492</v>
      </c>
    </row>
    <row r="30" customFormat="false" ht="15.75" hidden="false" customHeight="false" outlineLevel="0" collapsed="false">
      <c r="A30" s="4"/>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customFormat="false" ht="15.75" hidden="false" customHeight="false" outlineLevel="0" collapsed="false">
      <c r="A31" s="4"/>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customFormat="false" ht="15.75" hidden="false" customHeight="false" outlineLevel="0" collapsed="false">
      <c r="A32" s="1" t="s">
        <v>493</v>
      </c>
      <c r="B32" s="1" t="s">
        <v>494</v>
      </c>
      <c r="G32" s="1" t="n">
        <v>300</v>
      </c>
      <c r="J32" s="1" t="s">
        <v>495</v>
      </c>
    </row>
    <row r="34" customFormat="false" ht="15.75" hidden="false" customHeight="false" outlineLevel="0" collapsed="false">
      <c r="A34" s="1" t="s">
        <v>496</v>
      </c>
      <c r="B34" s="1" t="s">
        <v>148</v>
      </c>
      <c r="C34" s="1" t="s">
        <v>497</v>
      </c>
      <c r="F34" s="1" t="n">
        <v>10000</v>
      </c>
      <c r="G34" s="1" t="n">
        <v>285</v>
      </c>
      <c r="J34" s="1" t="s">
        <v>498</v>
      </c>
    </row>
    <row r="35" customFormat="false" ht="15.75" hidden="false" customHeight="false" outlineLevel="0" collapsed="false">
      <c r="A35" s="1" t="s">
        <v>499</v>
      </c>
      <c r="B35" s="1" t="s">
        <v>121</v>
      </c>
      <c r="C35" s="1" t="s">
        <v>500</v>
      </c>
      <c r="F35" s="3"/>
    </row>
    <row r="36" customFormat="false" ht="15.75" hidden="false" customHeight="false" outlineLevel="0" collapsed="false">
      <c r="A36" s="4"/>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customFormat="false" ht="15.75" hidden="false" customHeight="false" outlineLevel="0" collapsed="false">
      <c r="A37" s="1" t="s">
        <v>493</v>
      </c>
      <c r="D37" s="1" t="n">
        <v>22400</v>
      </c>
      <c r="E37" s="1" t="n">
        <v>56000</v>
      </c>
      <c r="F37" s="3" t="n">
        <f aca="false">AVERAGE(D37:E37)</f>
        <v>39200</v>
      </c>
      <c r="G37" s="1" t="n">
        <v>224</v>
      </c>
      <c r="H37" s="3" t="n">
        <f aca="false">LOG10(F37)</f>
        <v>4.59328606702046</v>
      </c>
      <c r="I37" s="3" t="n">
        <f aca="false">LOG10(G37)</f>
        <v>2.35024801833416</v>
      </c>
      <c r="J37" s="1"/>
      <c r="K37" s="1" t="s">
        <v>501</v>
      </c>
    </row>
    <row r="38" customFormat="false" ht="15.75" hidden="false" customHeight="false" outlineLevel="0" collapsed="false">
      <c r="A38" s="1" t="s">
        <v>502</v>
      </c>
      <c r="B38" s="1" t="s">
        <v>34</v>
      </c>
      <c r="D38" s="1" t="n">
        <v>400000</v>
      </c>
      <c r="E38" s="1" t="n">
        <v>700000</v>
      </c>
      <c r="J38" s="1"/>
      <c r="K38" s="1" t="s">
        <v>503</v>
      </c>
    </row>
    <row r="41" customFormat="false" ht="15.75" hidden="false" customHeight="false" outlineLevel="0" collapsed="false">
      <c r="A41" s="4"/>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customFormat="false" ht="15.75" hidden="false" customHeight="false" outlineLevel="0" collapsed="false">
      <c r="A42" s="4"/>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4" customFormat="false" ht="15.75" hidden="false" customHeight="false" outlineLevel="0" collapsed="false">
      <c r="A44" s="4"/>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customFormat="false" ht="15.75" hidden="false" customHeight="false" outlineLevel="0" collapsed="false">
      <c r="A45" s="4"/>
      <c r="B45" s="6"/>
      <c r="C45" s="6"/>
      <c r="D45" s="6"/>
      <c r="E45" s="6"/>
      <c r="F45" s="6"/>
      <c r="G45" s="6"/>
      <c r="H45" s="6"/>
      <c r="I45" s="6"/>
      <c r="J45" s="6"/>
      <c r="L45" s="6"/>
      <c r="M45" s="6"/>
      <c r="N45" s="6"/>
      <c r="O45" s="6"/>
      <c r="P45" s="6"/>
      <c r="Q45" s="6"/>
      <c r="R45" s="6"/>
      <c r="S45" s="6"/>
      <c r="T45" s="6"/>
      <c r="U45" s="6"/>
      <c r="V45" s="6"/>
      <c r="W45" s="6"/>
      <c r="X45" s="6"/>
      <c r="Y45" s="6"/>
      <c r="Z45" s="6"/>
      <c r="AA45" s="6"/>
      <c r="AB45" s="6"/>
      <c r="AC45" s="6"/>
      <c r="AD45" s="6"/>
      <c r="AE45" s="6"/>
      <c r="AF45" s="6"/>
      <c r="AG45" s="6"/>
      <c r="AH45" s="6"/>
      <c r="AI45" s="6"/>
    </row>
    <row r="46" customFormat="false" ht="15.75" hidden="false" customHeight="false" outlineLevel="0" collapsed="false">
      <c r="A46" s="4"/>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customFormat="false" ht="15.75" hidden="false" customHeight="false" outlineLevel="0" collapsed="false">
      <c r="A47" s="4"/>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customFormat="false" ht="15.75" hidden="false" customHeight="false" outlineLevel="0" collapsed="false">
      <c r="A48" s="1" t="s">
        <v>504</v>
      </c>
      <c r="B48" s="1" t="s">
        <v>144</v>
      </c>
      <c r="C48" s="1" t="s">
        <v>145</v>
      </c>
      <c r="D48" s="1" t="n">
        <v>40000</v>
      </c>
      <c r="E48" s="1" t="n">
        <v>45000</v>
      </c>
      <c r="F48" s="3" t="n">
        <v>42500</v>
      </c>
      <c r="G48" s="1" t="n">
        <v>401</v>
      </c>
      <c r="H48" s="3" t="n">
        <f aca="false">LOG10(F48)</f>
        <v>4.62838893005031</v>
      </c>
      <c r="I48" s="3" t="n">
        <f aca="false">LOG10(G48)</f>
        <v>2.60314437262018</v>
      </c>
      <c r="J48" s="1" t="n">
        <f aca="false">(H48-I48)</f>
        <v>2.02524455743013</v>
      </c>
      <c r="L48" s="7" t="s">
        <v>505</v>
      </c>
    </row>
    <row r="49" customFormat="false" ht="15.75" hidden="false" customHeight="false" outlineLevel="0" collapsed="false">
      <c r="A49" s="1" t="s">
        <v>506</v>
      </c>
      <c r="B49" s="1" t="s">
        <v>507</v>
      </c>
      <c r="C49" s="1" t="s">
        <v>508</v>
      </c>
      <c r="D49" s="1"/>
      <c r="E49" s="1" t="n">
        <v>10000</v>
      </c>
      <c r="F49" s="3" t="n">
        <f aca="false">AVERAGE(D49:E49)</f>
        <v>10000</v>
      </c>
      <c r="G49" s="1" t="n">
        <v>166</v>
      </c>
      <c r="H49" s="3" t="n">
        <f aca="false">LOG10(F49)</f>
        <v>4</v>
      </c>
      <c r="I49" s="3" t="n">
        <f aca="false">LOG10(G49)</f>
        <v>2.22010808804005</v>
      </c>
      <c r="J49" s="1" t="n">
        <f aca="false">(H49-I49)</f>
        <v>1.77989191195995</v>
      </c>
      <c r="K49" s="1" t="n">
        <f aca="false">POWER(10,H49-I49)</f>
        <v>60.24096386</v>
      </c>
      <c r="L49" s="1" t="s">
        <v>509</v>
      </c>
    </row>
    <row r="50" customFormat="false" ht="15.75" hidden="false" customHeight="false" outlineLevel="0" collapsed="false">
      <c r="A50" s="4" t="s">
        <v>366</v>
      </c>
      <c r="B50" s="4" t="s">
        <v>494</v>
      </c>
      <c r="C50" s="4" t="s">
        <v>510</v>
      </c>
      <c r="D50" s="4"/>
      <c r="E50" s="4"/>
      <c r="F50" s="4" t="n">
        <v>40000</v>
      </c>
      <c r="G50" s="4" t="n">
        <v>220</v>
      </c>
      <c r="H50" s="3" t="n">
        <f aca="false">LOG10(F50)</f>
        <v>4.60205999132796</v>
      </c>
      <c r="I50" s="3" t="n">
        <f aca="false">LOG10(G50)</f>
        <v>2.34242268082221</v>
      </c>
      <c r="K50" s="6"/>
      <c r="L50" s="4" t="s">
        <v>511</v>
      </c>
      <c r="M50" s="6"/>
      <c r="N50" s="6"/>
      <c r="O50" s="6"/>
      <c r="P50" s="6"/>
      <c r="Q50" s="6"/>
      <c r="R50" s="4" t="s">
        <v>468</v>
      </c>
      <c r="S50" s="6"/>
      <c r="T50" s="6"/>
      <c r="U50" s="6"/>
      <c r="V50" s="6"/>
      <c r="W50" s="6"/>
      <c r="X50" s="6"/>
      <c r="Y50" s="6"/>
      <c r="Z50" s="6"/>
      <c r="AA50" s="6"/>
      <c r="AB50" s="6"/>
      <c r="AC50" s="6"/>
      <c r="AD50" s="6"/>
      <c r="AE50" s="6"/>
      <c r="AF50" s="6"/>
      <c r="AG50" s="6"/>
      <c r="AH50" s="6"/>
      <c r="AI50" s="6"/>
    </row>
    <row r="51" customFormat="false" ht="15.75" hidden="false" customHeight="false" outlineLevel="0" collapsed="false">
      <c r="A51" s="1" t="s">
        <v>512</v>
      </c>
      <c r="B51" s="1" t="s">
        <v>513</v>
      </c>
      <c r="D51" s="1" t="n">
        <v>80000</v>
      </c>
      <c r="E51" s="1" t="n">
        <v>130000</v>
      </c>
      <c r="F51" s="3" t="n">
        <f aca="false">AVERAGE(D51:E51)</f>
        <v>105000</v>
      </c>
      <c r="G51" s="1" t="n">
        <v>365</v>
      </c>
      <c r="H51" s="3" t="n">
        <f aca="false">LOG10(F51)</f>
        <v>5.02118929906994</v>
      </c>
      <c r="I51" s="3" t="n">
        <f aca="false">LOG10(G51)</f>
        <v>2.56229286445647</v>
      </c>
      <c r="L51" s="1" t="s">
        <v>514</v>
      </c>
    </row>
    <row r="52" customFormat="false" ht="15.75" hidden="false" customHeight="false" outlineLevel="0" collapsed="false">
      <c r="A52" s="1" t="s">
        <v>515</v>
      </c>
      <c r="F52" s="1" t="n">
        <v>13000</v>
      </c>
      <c r="G52" s="1" t="n">
        <v>210</v>
      </c>
      <c r="H52" s="3" t="n">
        <f aca="false">LOG10(F52)</f>
        <v>4.11394335230684</v>
      </c>
      <c r="I52" s="3" t="n">
        <f aca="false">LOG10(G52)</f>
        <v>2.32221929473392</v>
      </c>
      <c r="L52" s="1" t="s">
        <v>516</v>
      </c>
    </row>
    <row r="53" customFormat="false" ht="15.75" hidden="false" customHeight="false" outlineLevel="0" collapsed="false">
      <c r="A53" s="1" t="s">
        <v>496</v>
      </c>
      <c r="B53" s="1" t="s">
        <v>148</v>
      </c>
      <c r="C53" s="1" t="s">
        <v>517</v>
      </c>
      <c r="D53" s="1" t="n">
        <v>20000</v>
      </c>
      <c r="E53" s="1" t="n">
        <v>30000</v>
      </c>
      <c r="F53" s="1" t="n">
        <f aca="false">AVERAGE(D53:E53)</f>
        <v>25000</v>
      </c>
      <c r="G53" s="1" t="n">
        <v>285</v>
      </c>
      <c r="H53" s="3" t="n">
        <f aca="false">LOG10(F53)</f>
        <v>4.39794000867204</v>
      </c>
      <c r="I53" s="3" t="n">
        <f aca="false">LOG10(G53)</f>
        <v>2.45484486000851</v>
      </c>
      <c r="J53" s="1" t="n">
        <f aca="false">(H53-I53)</f>
        <v>1.943095149</v>
      </c>
      <c r="L53" s="1" t="s">
        <v>518</v>
      </c>
    </row>
    <row r="54" customFormat="false" ht="15.75" hidden="false" customHeight="false" outlineLevel="0" collapsed="false">
      <c r="A54" s="4" t="s">
        <v>468</v>
      </c>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customFormat="false" ht="15.75" hidden="false" customHeight="false" outlineLevel="0" collapsed="false">
      <c r="A55" s="4"/>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8" customFormat="false" ht="15.75" hidden="false" customHeight="false" outlineLevel="0" collapsed="false">
      <c r="A58" s="1" t="s">
        <v>519</v>
      </c>
      <c r="D58" s="1" t="n">
        <v>200</v>
      </c>
      <c r="E58" s="1" t="n">
        <v>400</v>
      </c>
      <c r="F58" s="3" t="n">
        <f aca="false">AVERAGE(D58:E58)</f>
        <v>300</v>
      </c>
      <c r="G58" s="1" t="n">
        <v>16</v>
      </c>
      <c r="H58" s="3" t="n">
        <f aca="false">LOG10(F58)</f>
        <v>2.47712125471966</v>
      </c>
      <c r="I58" s="3" t="n">
        <f aca="false">LOG10(G58)</f>
        <v>1.20411998265592</v>
      </c>
      <c r="J58" s="1" t="n">
        <f aca="false">(H58-I58)</f>
        <v>1.273001272</v>
      </c>
      <c r="K58" s="1" t="n">
        <f aca="false">POWER(10,H58-I58)</f>
        <v>18.75</v>
      </c>
    </row>
    <row r="59" customFormat="false" ht="15.75" hidden="false" customHeight="false" outlineLevel="0" collapsed="false">
      <c r="A59" s="4"/>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customFormat="false" ht="15.75" hidden="false" customHeight="false" outlineLevel="0" collapsed="false">
      <c r="A60" s="4"/>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customFormat="false" ht="15.75" hidden="false" customHeight="false" outlineLevel="0" collapsed="false">
      <c r="A61" s="4"/>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customFormat="false" ht="15.75" hidden="false" customHeight="false" outlineLevel="0" collapsed="false">
      <c r="A62" s="4" t="s">
        <v>520</v>
      </c>
      <c r="B62" s="4" t="s">
        <v>521</v>
      </c>
      <c r="C62" s="4" t="s">
        <v>522</v>
      </c>
      <c r="D62" s="6"/>
      <c r="E62" s="6"/>
      <c r="H62" s="8" t="n">
        <v>75000</v>
      </c>
      <c r="I62" s="8" t="n">
        <v>360</v>
      </c>
      <c r="J62" s="3" t="n">
        <f aca="false">LOG10(H62)</f>
        <v>4.8750612633917</v>
      </c>
      <c r="K62" s="3" t="n">
        <f aca="false">LOG10(I62)</f>
        <v>2.55630250076729</v>
      </c>
      <c r="L62" s="1" t="n">
        <f aca="false">(J62-K62)</f>
        <v>2.31875876262441</v>
      </c>
      <c r="M62" s="1" t="n">
        <f aca="false">POWER(10,J62-K62)</f>
        <v>208.333333333333</v>
      </c>
      <c r="N62" s="4" t="s">
        <v>523</v>
      </c>
      <c r="O62" s="6"/>
      <c r="P62" s="6"/>
      <c r="Q62" s="6"/>
      <c r="R62" s="6"/>
      <c r="S62" s="6"/>
      <c r="T62" s="6"/>
      <c r="U62" s="6"/>
      <c r="V62" s="6"/>
      <c r="W62" s="6"/>
      <c r="X62" s="6"/>
      <c r="Y62" s="6"/>
      <c r="Z62" s="6"/>
      <c r="AA62" s="6"/>
      <c r="AB62" s="6"/>
      <c r="AC62" s="6"/>
      <c r="AD62" s="6"/>
      <c r="AE62" s="6"/>
      <c r="AF62" s="6"/>
      <c r="AG62" s="6"/>
    </row>
    <row r="63" customFormat="false" ht="15.75" hidden="false" customHeight="false" outlineLevel="0" collapsed="false">
      <c r="A63" s="1" t="s">
        <v>524</v>
      </c>
      <c r="B63" s="1"/>
      <c r="C63" s="1" t="s">
        <v>525</v>
      </c>
      <c r="H63" s="1" t="n">
        <v>7000</v>
      </c>
      <c r="I63" s="1" t="n">
        <v>30</v>
      </c>
      <c r="J63" s="3" t="n">
        <f aca="false">LOG10(H63)</f>
        <v>3.84509804001426</v>
      </c>
      <c r="K63" s="3" t="n">
        <f aca="false">LOG10(I63)</f>
        <v>1.47712125471966</v>
      </c>
      <c r="L63" s="1" t="n">
        <f aca="false">(J63-K63)</f>
        <v>2.36797678529459</v>
      </c>
      <c r="M63" s="1" t="n">
        <f aca="false">POWER(10,J63-K63)</f>
        <v>233.333333333333</v>
      </c>
    </row>
    <row r="64" customFormat="false" ht="15.75" hidden="false" customHeight="false" outlineLevel="0" collapsed="false">
      <c r="A64" s="1" t="s">
        <v>524</v>
      </c>
      <c r="F64" s="1" t="n">
        <v>1800</v>
      </c>
      <c r="G64" s="1" t="n">
        <v>2600</v>
      </c>
      <c r="H64" s="3" t="n">
        <f aca="false">AVERAGE(F64:G64)</f>
        <v>2200</v>
      </c>
      <c r="I64" s="1" t="n">
        <v>24</v>
      </c>
      <c r="J64" s="3" t="n">
        <f aca="false">LOG10(H64)</f>
        <v>3.34242268082221</v>
      </c>
      <c r="K64" s="3" t="n">
        <f aca="false">LOG10(I64)</f>
        <v>1.38021124171161</v>
      </c>
      <c r="L64" s="1" t="n">
        <f aca="false">(J64-K64)</f>
        <v>1.9622114391106</v>
      </c>
      <c r="M64" s="1" t="n">
        <f aca="false">POWER(10,J64-K64)</f>
        <v>91.6666666666667</v>
      </c>
    </row>
    <row r="65" customFormat="false" ht="15.75" hidden="false" customHeight="false" outlineLevel="0" collapsed="false">
      <c r="A65" s="4"/>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customFormat="false" ht="15.75" hidden="false" customHeight="false" outlineLevel="0" collapsed="false">
      <c r="A66" s="1" t="s">
        <v>526</v>
      </c>
      <c r="B66" s="1" t="s">
        <v>521</v>
      </c>
      <c r="C66" s="1" t="s">
        <v>527</v>
      </c>
      <c r="D66" s="1" t="s">
        <v>17</v>
      </c>
      <c r="E66" s="1" t="s">
        <v>27</v>
      </c>
      <c r="F66" s="1" t="n">
        <v>3000</v>
      </c>
      <c r="G66" s="1" t="n">
        <v>4000</v>
      </c>
      <c r="H66" s="3" t="n">
        <f aca="false">AVERAGE(F66:G66)</f>
        <v>3500</v>
      </c>
      <c r="I66" s="1" t="n">
        <v>400</v>
      </c>
      <c r="J66" s="3" t="n">
        <f aca="false">LOG10(H66)</f>
        <v>3.54406804435028</v>
      </c>
      <c r="K66" s="3" t="n">
        <f aca="false">LOG10(I66)</f>
        <v>2.60205999132796</v>
      </c>
      <c r="L66" s="1" t="n">
        <f aca="false">(J66-K66)</f>
        <v>0.942008053</v>
      </c>
      <c r="M66" s="1" t="n">
        <f aca="false">POWER(10,J66-K66)</f>
        <v>8.75</v>
      </c>
      <c r="N66" s="1" t="s">
        <v>528</v>
      </c>
    </row>
    <row r="67" customFormat="false" ht="15.75" hidden="false" customHeight="false" outlineLevel="0" collapsed="false">
      <c r="A67" s="4"/>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customFormat="false" ht="15.75" hidden="false" customHeight="false" outlineLevel="0" collapsed="false">
      <c r="A68" s="4"/>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customFormat="false" ht="15.75" hidden="false" customHeight="false" outlineLevel="0" collapsed="false">
      <c r="A69" s="4"/>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customFormat="false" ht="15.75" hidden="false" customHeight="false" outlineLevel="0" collapsed="false">
      <c r="A70" s="4"/>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customFormat="false" ht="15.75" hidden="false" customHeight="false" outlineLevel="0" collapsed="false">
      <c r="A71" s="4"/>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customFormat="false" ht="15.75" hidden="false" customHeight="false" outlineLevel="0" collapsed="false">
      <c r="A72" s="4"/>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customFormat="false" ht="15.75" hidden="false" customHeight="false" outlineLevel="0" collapsed="false">
      <c r="A73" s="4"/>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customFormat="false" ht="15.75" hidden="false" customHeight="false" outlineLevel="0" collapsed="false">
      <c r="A74" s="4"/>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customFormat="false" ht="15.75" hidden="false" customHeight="false" outlineLevel="0" collapsed="false">
      <c r="A75" s="4"/>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customFormat="false" ht="15.75" hidden="false" customHeight="false" outlineLevel="0" collapsed="false">
      <c r="A76" s="4"/>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customFormat="false" ht="15.75" hidden="false" customHeight="false" outlineLevel="0" collapsed="false">
      <c r="A77" s="4"/>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customFormat="false" ht="15.75" hidden="false" customHeight="false" outlineLevel="0" collapsed="false">
      <c r="A78" s="4"/>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row>
    <row r="79" customFormat="false" ht="15.75" hidden="false" customHeight="false" outlineLevel="0" collapsed="false">
      <c r="A79" s="4"/>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customFormat="false" ht="15.75" hidden="false" customHeight="false" outlineLevel="0" collapsed="false">
      <c r="A80" s="4"/>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customFormat="false" ht="15.75" hidden="false" customHeight="false" outlineLevel="0" collapsed="false">
      <c r="A81" s="4"/>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customFormat="false" ht="15.75" hidden="false" customHeight="false" outlineLevel="0" collapsed="false">
      <c r="A82" s="4"/>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customFormat="false" ht="15.75" hidden="false" customHeight="false" outlineLevel="0" collapsed="false">
      <c r="A83" s="4"/>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customFormat="false" ht="15.75" hidden="false" customHeight="false" outlineLevel="0" collapsed="false">
      <c r="A84" s="4"/>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customFormat="false" ht="15.75" hidden="false" customHeight="false" outlineLevel="0" collapsed="false">
      <c r="A85" s="4"/>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customFormat="false" ht="15.75" hidden="false" customHeight="false" outlineLevel="0" collapsed="false">
      <c r="A86" s="4"/>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customFormat="false" ht="15.75" hidden="false" customHeight="false" outlineLevel="0" collapsed="false">
      <c r="A87" s="4"/>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customFormat="false" ht="15.75" hidden="false" customHeight="false" outlineLevel="0" collapsed="false">
      <c r="A88" s="4"/>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customFormat="false" ht="15.75" hidden="false" customHeight="false" outlineLevel="0" collapsed="false">
      <c r="A89" s="4"/>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customFormat="false" ht="15.75" hidden="false" customHeight="false" outlineLevel="0" collapsed="false">
      <c r="A90" s="4"/>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customFormat="false" ht="15.75" hidden="false" customHeight="false" outlineLevel="0" collapsed="false">
      <c r="A91" s="4"/>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customFormat="false" ht="15.75" hidden="false" customHeight="false" outlineLevel="0" collapsed="false">
      <c r="A92" s="4"/>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customFormat="false" ht="15.75" hidden="false" customHeight="false" outlineLevel="0" collapsed="false">
      <c r="A93" s="4"/>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customFormat="false" ht="15.75" hidden="false" customHeight="false" outlineLevel="0" collapsed="false">
      <c r="A94" s="4"/>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customFormat="false" ht="15.75" hidden="false" customHeight="false" outlineLevel="0" collapsed="false">
      <c r="A95" s="4"/>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customFormat="false" ht="15.75" hidden="false" customHeight="false" outlineLevel="0" collapsed="false">
      <c r="A96" s="4"/>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customFormat="false" ht="15.75" hidden="false" customHeight="false" outlineLevel="0" collapsed="false">
      <c r="A97" s="4"/>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customFormat="false" ht="15.75" hidden="false" customHeight="false" outlineLevel="0" collapsed="false">
      <c r="A98" s="4"/>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customFormat="false" ht="15.75" hidden="false" customHeight="false" outlineLevel="0" collapsed="false">
      <c r="A99" s="4"/>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customFormat="false" ht="15.75" hidden="false" customHeight="false" outlineLevel="0" collapsed="false">
      <c r="A100" s="4"/>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customFormat="false" ht="15.75" hidden="false" customHeight="false" outlineLevel="0" collapsed="false">
      <c r="A101" s="4"/>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customFormat="false" ht="15.75" hidden="false" customHeight="false" outlineLevel="0" collapsed="false">
      <c r="A102" s="4"/>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customFormat="false" ht="15.75" hidden="false" customHeight="false" outlineLevel="0" collapsed="false">
      <c r="A103" s="4"/>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customFormat="false" ht="15.75" hidden="false" customHeight="false" outlineLevel="0" collapsed="false">
      <c r="A104" s="4"/>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customFormat="false" ht="15.75" hidden="false" customHeight="false" outlineLevel="0" collapsed="false">
      <c r="A105" s="4"/>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customFormat="false" ht="15.75" hidden="false" customHeight="false" outlineLevel="0" collapsed="false">
      <c r="A106" s="4"/>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customFormat="false" ht="15.75" hidden="false" customHeight="false" outlineLevel="0" collapsed="false">
      <c r="A107" s="4"/>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customFormat="false" ht="15.75" hidden="false" customHeight="false" outlineLevel="0" collapsed="false">
      <c r="A108" s="12"/>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customFormat="false" ht="15.75" hidden="false" customHeight="false" outlineLevel="0" collapsed="false">
      <c r="A109" s="4"/>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customFormat="false" ht="15.75" hidden="false" customHeight="false" outlineLevel="0" collapsed="false">
      <c r="A110" s="4"/>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customFormat="false" ht="15.75" hidden="false" customHeight="false" outlineLevel="0" collapsed="false">
      <c r="A111" s="4"/>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customFormat="false" ht="15.75" hidden="false" customHeight="false" outlineLevel="0" collapsed="false">
      <c r="A112" s="4"/>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customFormat="false" ht="15.75" hidden="false" customHeight="false" outlineLevel="0" collapsed="false">
      <c r="A113" s="4"/>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customFormat="false" ht="15.75" hidden="false" customHeight="false" outlineLevel="0" collapsed="false">
      <c r="A114" s="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customFormat="false" ht="15.75" hidden="false" customHeight="false" outlineLevel="0" collapsed="false">
      <c r="A115" s="4"/>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customFormat="false" ht="15.75" hidden="false" customHeight="false" outlineLevel="0" collapsed="false">
      <c r="A116" s="4"/>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customFormat="false" ht="15.75" hidden="false" customHeight="false" outlineLevel="0" collapsed="false">
      <c r="A117" s="4"/>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customFormat="false" ht="15.75" hidden="false" customHeight="false" outlineLevel="0" collapsed="false">
      <c r="A118" s="4"/>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customFormat="false" ht="15.75" hidden="false" customHeight="false" outlineLevel="0" collapsed="false">
      <c r="A119" s="4"/>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customFormat="false" ht="15.75" hidden="false" customHeight="false" outlineLevel="0" collapsed="false">
      <c r="A120" s="4"/>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customFormat="false" ht="15.75" hidden="false" customHeight="false" outlineLevel="0" collapsed="false">
      <c r="A121" s="4"/>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customFormat="false" ht="15.75" hidden="false" customHeight="false" outlineLevel="0" collapsed="false">
      <c r="A122" s="4"/>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customFormat="false" ht="15.75" hidden="false" customHeight="false" outlineLevel="0" collapsed="false">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customFormat="false" ht="15.75" hidden="false" customHeight="false" outlineLevel="0" collapsed="false">
      <c r="A124" s="4"/>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customFormat="false" ht="15.75" hidden="false" customHeight="false" outlineLevel="0" collapsed="false">
      <c r="A125" s="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customFormat="false" ht="15.75" hidden="false" customHeight="false" outlineLevel="0" collapsed="false">
      <c r="A126" s="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customFormat="false" ht="15.75" hidden="false" customHeight="false" outlineLevel="0" collapsed="false">
      <c r="A127" s="4"/>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customFormat="false" ht="15.75" hidden="false" customHeight="false" outlineLevel="0" collapsed="false">
      <c r="A128" s="4"/>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customFormat="false" ht="15.75" hidden="false" customHeight="false" outlineLevel="0" collapsed="false">
      <c r="A129" s="4"/>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customFormat="false" ht="15.75" hidden="false" customHeight="false" outlineLevel="0" collapsed="false">
      <c r="A130" s="4"/>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customFormat="false" ht="15.75" hidden="false" customHeight="false" outlineLevel="0" collapsed="false">
      <c r="A131" s="4"/>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customFormat="false" ht="15.75" hidden="false" customHeight="false" outlineLevel="0" collapsed="false">
      <c r="A132" s="4"/>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customFormat="false" ht="15.75" hidden="false" customHeight="false" outlineLevel="0" collapsed="false">
      <c r="A133" s="4"/>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customFormat="false" ht="15.75" hidden="false" customHeight="false" outlineLevel="0" collapsed="false">
      <c r="A134" s="4"/>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customFormat="false" ht="15.75" hidden="false" customHeight="false" outlineLevel="0" collapsed="false">
      <c r="A135" s="4"/>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customFormat="false" ht="15.75" hidden="false" customHeight="false" outlineLevel="0" collapsed="false">
      <c r="A136" s="4"/>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customFormat="false" ht="15.75" hidden="false" customHeight="false" outlineLevel="0" collapsed="false">
      <c r="A137" s="4"/>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customFormat="false" ht="15.75" hidden="false" customHeight="false" outlineLevel="0" collapsed="false">
      <c r="A138" s="4"/>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customFormat="false" ht="15.75" hidden="false" customHeight="false" outlineLevel="0" collapsed="false">
      <c r="A139" s="4"/>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customFormat="false" ht="15.75" hidden="false" customHeight="false" outlineLevel="0" collapsed="false">
      <c r="A140" s="4"/>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customFormat="false" ht="15.75" hidden="false" customHeight="false" outlineLevel="0" collapsed="false">
      <c r="A141" s="4"/>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sheetData>
  <hyperlinks>
    <hyperlink ref="L48" r:id="rId1" display="Need to further investigate sources: https://en.wikipedia.org/wiki/History_of_Cologne#Demographic_history_of_Cologne; area taken from walls of 1180, see https://en.wikipedia.org/wiki/History_of_Cologne#/media/File:K%C3%B6lnArnoldMercator.png  https://en.wikipedia.org/wiki/Colonia_Claudia_Ara_Agrippinensiu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2026-02-02T20:27:28Z</dcterms:modified>
  <cp:revision>1</cp:revision>
  <dc:subject/>
  <dc:title/>
</cp:coreProperties>
</file>